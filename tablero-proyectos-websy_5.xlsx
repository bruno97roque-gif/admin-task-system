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 activeTab="1"/>
  </bookViews>
  <sheets>
    <sheet name="Instrucciones" sheetId="1" r:id="rId1"/>
    <sheet name="Proyectos" sheetId="2" r:id="rId2"/>
    <sheet name="Tablero" sheetId="3" r:id="rId3"/>
    <sheet name="Juan Carlos" sheetId="4" r:id="rId4"/>
    <sheet name="Aarón" sheetId="5" r:id="rId5"/>
    <sheet name="Rubit" sheetId="6" r:id="rId6"/>
    <sheet name="Luis" sheetId="7" r:id="rId7"/>
    <sheet name="Checklists" sheetId="8" r:id="rId8"/>
    <sheet name="Regla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<sst xmlns="http://schemas.openxmlformats.org/spreadsheetml/2006/main" count="988" uniqueCount="366">
  <si>
    <t>Tablero de proyectos — Websy</t>
  </si>
  <si>
    <t>Archivo de trabajo de Julio (administrador del área). Súbelo a Google Drive y ábrelo con Google Sheets: tiene que ser un solo link en vivo, nunca un archivo que se manda por correo. Actualizado el 30/07/2026: columnas Código, Prioridad, Plataforma y Avance de diseño, buscador de clientes y hojas de equipo editables.</t>
  </si>
  <si>
    <t>Cómo se usa</t>
  </si>
  <si>
    <t>1</t>
  </si>
  <si>
    <t>Empieza por la hoja PROYECTOS: un cliente por fila. Arriba de todo hay una BARRA DE BÚSQUEDA (celda celeste): escribe parte del nombre del cliente o su código y las filas que coinciden se resaltan. Bórrala para volver a ver todo.</t>
  </si>
  <si>
    <t>2</t>
  </si>
  <si>
    <t>Llena solo las celdas AMARILLAS. Las BLANCAS se calculan solas — si escribes encima, rompes la fórmula.</t>
  </si>
  <si>
    <t>3</t>
  </si>
  <si>
    <t>CÓDIGO es el número de cada empresa (022, 059, 065b…) y la hoja PROYECTOS va ordenada por ese número; los clientes sin código quedan al final. PRIORIDAD DISEÑO (JC) es solo la cola de Juan Carlos: 1 es el primero que diseña, y así se ordena su hoja. GRUPO se calcula solo: A = listo para producir, B = trabado por el cliente, C = no pagó o no responde.</t>
  </si>
  <si>
    <t>4</t>
  </si>
  <si>
    <t>PLATAFORMA (Shopify / WooCommerce / Personalizado) es lista desplegable; lo que siga en «Por definir» se pinta naranja hasta que lo completes. DEV y DISEÑADOR son distintos: Juan Carlos es el diseñador, va en TODOS los proyectos y no se cuenta como dev; los «Sin asignar» en rojo necesitan developer.</t>
  </si>
  <si>
    <t>5</t>
  </si>
  <si>
    <t>AVANCE DE DISEÑO (JC) es exclusiva de Juan Carlos: la marca él en su hoja y aquí se ve sola. Va de «Falta material» → «Material completo — iniciar diseño» → «Diseño en curso» → «Avance listo para presentar» → «En revisión del cliente» → «Diseño finalizado». Los devs marcan lo suyo en «Aviso del dev».</t>
  </si>
  <si>
    <t>6</t>
  </si>
  <si>
    <t>La hoja TABLERO se dibuja sola con lo que escribes en PROYECTOS: captura y mándasela a Luis los viernes. CHECKLISTS y REGLAS no se editan, son para consultar.</t>
  </si>
  <si>
    <t>Leyenda de colores</t>
  </si>
  <si>
    <t>Amarillo</t>
  </si>
  <si>
    <t>Lo llenas tú a mano.</t>
  </si>
  <si>
    <t>Blanco</t>
  </si>
  <si>
    <t>Se calcula solo. No escribir.</t>
  </si>
  <si>
    <t>Verde</t>
  </si>
  <si>
    <t>Todo en orden.</t>
  </si>
  <si>
    <t>Naranja</t>
  </si>
  <si>
    <t>Requiere que lo persigas.</t>
  </si>
  <si>
    <t>Rojo</t>
  </si>
  <si>
    <t>Urgente o congelado.</t>
  </si>
  <si>
    <t>Lo más importante</t>
  </si>
  <si>
    <t>Este archivo no obliga a nadie a nada. Las tres compuertas y los límites de trabajo los haces cumplir tú, diciendo que no. Léelas en la hoja REGLAS antes de empezar.</t>
  </si>
  <si>
    <t>BUSCAR CLIENTE →</t>
  </si>
  <si>
    <t>Escribe aquí parte del nombre del cliente (o su código) y las filas que coinciden se pintan de celeste. Borra la celda para volver a ver todo. Esta hoja va ordenada por CÓDIGO; la columna Prioridad diseño solo manda la cola de Juan Carlos.</t>
  </si>
  <si>
    <t>Prioridad diseño (JC)</t>
  </si>
  <si>
    <t>Código</t>
  </si>
  <si>
    <t>Cliente</t>
  </si>
  <si>
    <t>Correo del cliente</t>
  </si>
  <si>
    <t>Tipo</t>
  </si>
  <si>
    <t>Plataforma</t>
  </si>
  <si>
    <t>Estado</t>
  </si>
  <si>
    <t>Dev</t>
  </si>
  <si>
    <t>Diseñador</t>
  </si>
  <si>
    <t>Avance de diseño (JC)</t>
  </si>
  <si>
    <t>Grupo</t>
  </si>
  <si>
    <t>Acción de hoy</t>
  </si>
  <si>
    <t>Pagó 50%</t>
  </si>
  <si>
    <t>Pagó 30%</t>
  </si>
  <si>
    <t>Pagó 20%</t>
  </si>
  <si>
    <t>Material de diseño</t>
  </si>
  <si>
    <t>Plantilla productos</t>
  </si>
  <si>
    <t>Total productos</t>
  </si>
  <si>
    <t>Imágenes de Productos</t>
  </si>
  <si>
    <t>Cargados</t>
  </si>
  <si>
    <t>% cargado</t>
  </si>
  <si>
    <t>Qué falta exactamente</t>
  </si>
  <si>
    <t>Últ. respuesta</t>
  </si>
  <si>
    <t>Días sin responder</t>
  </si>
  <si>
    <t>Notas</t>
  </si>
  <si>
    <t>Aviso del dev (auto)</t>
  </si>
  <si>
    <t>Nota del dev (auto)</t>
  </si>
  <si>
    <t>Nota de diseño (auto)</t>
  </si>
  <si>
    <t>012</t>
  </si>
  <si>
    <t>LCH Graphic Equipment</t>
  </si>
  <si>
    <t>E-commerce</t>
  </si>
  <si>
    <t>Por definir</t>
  </si>
  <si>
    <t>Cerrado</t>
  </si>
  <si>
    <t>Luis</t>
  </si>
  <si>
    <t>Juan Carlos</t>
  </si>
  <si>
    <t>Sí</t>
  </si>
  <si>
    <t>No</t>
  </si>
  <si>
    <t>Incompleto</t>
  </si>
  <si>
    <t>Recibida y validada</t>
  </si>
  <si>
    <t>Nada — en revisión y ajustes de contenido post-entrega</t>
  </si>
  <si>
    <t>Cliente: Luzgardo Chavez. Dev histórico: Luis. Últ. contacto de hace más de 15 días: revisar si sigue realmente al día.</t>
  </si>
  <si>
    <t>019</t>
  </si>
  <si>
    <t>Urban</t>
  </si>
  <si>
    <t>Informativa</t>
  </si>
  <si>
    <t>Aarón</t>
  </si>
  <si>
    <t>Completo</t>
  </si>
  <si>
    <t>No aplica</t>
  </si>
  <si>
    <t>Desarrollo</t>
  </si>
  <si>
    <t>Cliente: Maria Jose. Dev histórico: Aarón.</t>
  </si>
  <si>
    <t>022</t>
  </si>
  <si>
    <t>By Dra. Deyanira</t>
  </si>
  <si>
    <t>No enviada</t>
  </si>
  <si>
    <t>Nada — entregado, en espera de comprar el hosting. Marcha blanca</t>
  </si>
  <si>
    <t>Cliente: Jonathan Quiches. Dev histórico: Aarón.</t>
  </si>
  <si>
    <t>026</t>
  </si>
  <si>
    <t>Maginhard</t>
  </si>
  <si>
    <t>Esperando material</t>
  </si>
  <si>
    <t>Nada</t>
  </si>
  <si>
    <t>Todo — BLOQUEADO: no hay acceso al grupo del cliente</t>
  </si>
  <si>
    <t>Cliente: Kevin. Dev histórico: Aarón. Requiere desbloquear canal de comunicación antes de nada. 30</t>
  </si>
  <si>
    <t>035</t>
  </si>
  <si>
    <t>Jufrarvp S.R.L.</t>
  </si>
  <si>
    <t>Congelado</t>
  </si>
  <si>
    <t>Validación/aprobación del cliente</t>
  </si>
  <si>
    <t>Cliente: Julio Ponce. Sin fecha de última respuesta registrada — confirmar.</t>
  </si>
  <si>
    <t>036</t>
  </si>
  <si>
    <t>Soluz</t>
  </si>
  <si>
    <t>Reunión reprogramada + validación del cliente sobre carga de productos</t>
  </si>
  <si>
    <t>Cliente: Giancarlo Rosario. En transición de Aarón a Luis (aún no formalizada).</t>
  </si>
  <si>
    <t>038</t>
  </si>
  <si>
    <t>L'Andrea's Secret</t>
  </si>
  <si>
    <t>Recibida con errores</t>
  </si>
  <si>
    <t>Material de diseño — brief llenado</t>
  </si>
  <si>
    <t>Cliente: Gladys Poma. Dev histórico: Luis. 30% ya pagado según pizarra.</t>
  </si>
  <si>
    <t>040</t>
  </si>
  <si>
    <t>Maquinarias Aoxiang</t>
  </si>
  <si>
    <t>Nada — diseño aprobado</t>
  </si>
  <si>
    <t>Cliente: Liliana y Javier.</t>
  </si>
  <si>
    <t>041</t>
  </si>
  <si>
    <t>Place For Pet</t>
  </si>
  <si>
    <t>Rubit</t>
  </si>
  <si>
    <t>Reunión agendada</t>
  </si>
  <si>
    <t>Cliente: Natasha Marval y Vanessa Ayvar. Dev histórico: Rubit. - Perseguir material a partir del   5/08</t>
  </si>
  <si>
    <t>051</t>
  </si>
  <si>
    <t>Dr. Gonzalo Caballero</t>
  </si>
  <si>
    <t>Sin asignar</t>
  </si>
  <si>
    <t>Toda la información del cliente — aún no ha entregado nada</t>
  </si>
  <si>
    <t>Cliente: Gonzalo Caballero. 30% marcado como 'en camino'.</t>
  </si>
  <si>
    <t>053</t>
  </si>
  <si>
    <t>Youbi Importaciones</t>
  </si>
  <si>
    <t>Validación de diseño en paralelo al desarrollo</t>
  </si>
  <si>
    <t>Cliente: Jenifer y Jorge. 30% pagado.</t>
  </si>
  <si>
    <t>054</t>
  </si>
  <si>
    <t>Ale Bakery</t>
  </si>
  <si>
    <t>WooCommerce</t>
  </si>
  <si>
    <t>Fotografías finales del cliente para completar el diseño (30% ya pagado)</t>
  </si>
  <si>
    <t>Cliente: Alejandro y Alejandra. Dev histórico: Rubit. Cita viernes 24/07 . Finalizado , agendar reunion final 5 dias antes de su ultima cita</t>
  </si>
  <si>
    <t>055</t>
  </si>
  <si>
    <t>Anahir Store</t>
  </si>
  <si>
    <t>Diseño</t>
  </si>
  <si>
    <t>Feedback/aprobación del diseño (30% ya pagado)</t>
  </si>
  <si>
    <t>Cliente: Norma Gonzales. Dev histórico: Rubit.</t>
  </si>
  <si>
    <t>056</t>
  </si>
  <si>
    <t>Perforaciones H&amp;A</t>
  </si>
  <si>
    <t>Nada pendiente de diseño — falta confirmar developer asignado</t>
  </si>
  <si>
    <t>Cliente: Jessenia Lizbeth. Diseño aprobado, sin developer confirmado.</t>
  </si>
  <si>
    <t>057</t>
  </si>
  <si>
    <t>Grúas Sagitario</t>
  </si>
  <si>
    <t>Aprobación del diseño por parte del cliente</t>
  </si>
  <si>
    <t>Cliente: J Pino.</t>
  </si>
  <si>
    <t>059</t>
  </si>
  <si>
    <t>Los Halcones</t>
  </si>
  <si>
    <t>Si- NO - INCOMPLETO</t>
  </si>
  <si>
    <t>Nada — en implementación, cliente informado y disponible</t>
  </si>
  <si>
    <t>Cliente: Juan. - Cita viernes 24-07</t>
  </si>
  <si>
    <t>061</t>
  </si>
  <si>
    <t>Comsavitar SAC</t>
  </si>
  <si>
    <t>Validación final del manual de marca</t>
  </si>
  <si>
    <t>Cliente: Katia. PENDIENTE: agendar la reunión de brief.</t>
  </si>
  <si>
    <t>062</t>
  </si>
  <si>
    <t>I&amp;N Caprimoda</t>
  </si>
  <si>
    <t>QA + entrega</t>
  </si>
  <si>
    <t>Carga y validación de contenidos</t>
  </si>
  <si>
    <t>Cliente: Noelia Juanfer. OJO: Luis tiene capacidad 0 según Reglas — confirmar si esto es correcto. Cita viernes 24/07</t>
  </si>
  <si>
    <t>064</t>
  </si>
  <si>
    <t>Eviext</t>
  </si>
  <si>
    <t>Integración de contenidos finales del cliente</t>
  </si>
  <si>
    <t>Cliente: Reina. 30% en camino/confirmado. Sin developer confirmado — asignar.</t>
  </si>
  <si>
    <t>065</t>
  </si>
  <si>
    <t>Azcecorp</t>
  </si>
  <si>
    <t>Validar catálogos y completar precios/datos finales antes de maquetar</t>
  </si>
  <si>
    <t>Cliente: Alex Cordoba. Responsable actual 'Admin' — no es developer de código, reasignar a Aarón/Rubit/Luis.</t>
  </si>
  <si>
    <t>065b</t>
  </si>
  <si>
    <t>Karol Milena Añez</t>
  </si>
  <si>
    <t>Levantamiento de información y materiales, falta brief formal</t>
  </si>
  <si>
    <t>Cliente: Karol Añez. Dev histórico: Rubit.</t>
  </si>
  <si>
    <t>066</t>
  </si>
  <si>
    <t>Erika Garay</t>
  </si>
  <si>
    <t>Material de diseño en general</t>
  </si>
  <si>
    <t>Cliente: Erika Garay. Dev histórico: Aarón.</t>
  </si>
  <si>
    <t>067</t>
  </si>
  <si>
    <t>Ric Bian Originals</t>
  </si>
  <si>
    <t>Cliente: Romel. Dev histórico: Rubit.- espera de manual de marca websy , si pudieron algunas de las propuestas de logotipo</t>
  </si>
  <si>
    <t>068</t>
  </si>
  <si>
    <t>Camaleon</t>
  </si>
  <si>
    <t>Todo — recién se llenó el brief</t>
  </si>
  <si>
    <t>Cliente: Lady Quispe. Dev histórico: Aarón. Marca previa de Juan Carlos (el proyecto salió de su hoja por no estar en grupo A): «PERSEGUIR».</t>
  </si>
  <si>
    <t>069</t>
  </si>
  <si>
    <t>Global Peru Renting</t>
  </si>
  <si>
    <t>Nada — en proceso de diseño</t>
  </si>
  <si>
    <t>Cliente: Erika Ventura. Dev histórico: Rubit. , que suban sus archivos al drive Marca previa de Juan Carlos (el proyecto salió de su hoja por no estar en grupo A): «avance listo».</t>
  </si>
  <si>
    <t>070</t>
  </si>
  <si>
    <t>Buzz Studios</t>
  </si>
  <si>
    <t>Material de diseño (brief y drive ya completados administrativamente)</t>
  </si>
  <si>
    <t>Cliente: Elvis Stefano. Dev histórico: Aarón.</t>
  </si>
  <si>
    <t>071</t>
  </si>
  <si>
    <t>Teccons SAC</t>
  </si>
  <si>
    <t>Cliente: Jhon Cabrera Sánchez. Dev histórico: Rubit.</t>
  </si>
  <si>
    <t>073</t>
  </si>
  <si>
    <t>Hasso Group</t>
  </si>
  <si>
    <t>Materiales y activos del cliente para iniciar estructura de la tienda</t>
  </si>
  <si>
    <t>Cliente: Sharmely Zanabria Carmona. Dev histórico: Rubit. Enviar materiales logotipos y fotos</t>
  </si>
  <si>
    <t>074</t>
  </si>
  <si>
    <t>HSM Foods &amp; Agro</t>
  </si>
  <si>
    <t>Fotos (comprometidas para la próxima semana)</t>
  </si>
  <si>
    <t>Cliente: Sebastian y Mauricio. Dev histórico: Aarón. PENDIENTE: subir las fotos al Drive. Pedir en el grupo que suban el brief al Drive para que Luis lo descargue.</t>
  </si>
  <si>
    <t>075</t>
  </si>
  <si>
    <t>Luma Home</t>
  </si>
  <si>
    <t>Cliente: Fatima. Dev histórico: Rubit. PENDIENTE: que envíen todo su material al Drive.</t>
  </si>
  <si>
    <t>076</t>
  </si>
  <si>
    <t>Raul Cabana</t>
  </si>
  <si>
    <t>Cola</t>
  </si>
  <si>
    <t>Cliente: Raul Cabana. Dev histórico: Aarón.</t>
  </si>
  <si>
    <t>077</t>
  </si>
  <si>
    <t>Editora Desarrollo Humano</t>
  </si>
  <si>
    <t>Material de diseño / contenidos (proyecto de branding + intranet + LMS)</t>
  </si>
  <si>
    <t>Cliente: Maria Gracia. Luis mencionado como responsable — capacidad 0 según Reglas, confirmar quién lo lleva en la práctica.</t>
  </si>
  <si>
    <t>078</t>
  </si>
  <si>
    <t>Guardiania Total 360</t>
  </si>
  <si>
    <t>Cliente: Kenny. Dev histórico: Rubit.</t>
  </si>
  <si>
    <t>079</t>
  </si>
  <si>
    <t>Doctor G</t>
  </si>
  <si>
    <t>Todo — sin información registrada aún</t>
  </si>
  <si>
    <t>Dev histórico: Aarón. Cliente sin identificar en los registros — confirmar nombre. Viernes 24/07  cinco pm</t>
  </si>
  <si>
    <t>Alpen Ingenieros</t>
  </si>
  <si>
    <t>Todo — lead sin pago ni código</t>
  </si>
  <si>
    <t>Cliente: Leonardo.</t>
  </si>
  <si>
    <t>Evi</t>
  </si>
  <si>
    <t>Cliente: Evi.</t>
  </si>
  <si>
    <t>WJ Repuestos</t>
  </si>
  <si>
    <t>Cliente: Mariajose y Jon.</t>
  </si>
  <si>
    <t>Bellucci</t>
  </si>
  <si>
    <t>faltante</t>
  </si>
  <si>
    <t>Cliente: Joselyn Mendoza Vasquez.</t>
  </si>
  <si>
    <t>Proyectos Inversiones</t>
  </si>
  <si>
    <t>Todo — lead sin pago ni código (web + app)</t>
  </si>
  <si>
    <t>Cliente: Yoverth.</t>
  </si>
  <si>
    <t>Perlita Jeans</t>
  </si>
  <si>
    <t>Shopify</t>
  </si>
  <si>
    <t>Todo — lead sin pago ni código (Shopify)</t>
  </si>
  <si>
    <t>Cliente: Rolando.</t>
  </si>
  <si>
    <t>The Mouse</t>
  </si>
  <si>
    <t>Cliente: Edwin Montero.</t>
  </si>
  <si>
    <t>DiaGo Confecciones</t>
  </si>
  <si>
    <t>Todo — lead sin pago ni código (informativa + branding)</t>
  </si>
  <si>
    <t>Cliente: Sonia Mamani.</t>
  </si>
  <si>
    <t>Time Motors Chew</t>
  </si>
  <si>
    <t>Cliente: Deysi.</t>
  </si>
  <si>
    <t>Hueda</t>
  </si>
  <si>
    <t>Cliente: Sayuri Hueda. Falta Capacitacion</t>
  </si>
  <si>
    <t>Jump Fit Dance</t>
  </si>
  <si>
    <t>Cliente: Glaussia.</t>
  </si>
  <si>
    <t>Grizell Romero</t>
  </si>
  <si>
    <t>Cliente: Meilyn Chang.</t>
  </si>
  <si>
    <t>The Mining Club</t>
  </si>
  <si>
    <t>Cliente: Carlos. Recuperado de la hoja de Aarón (no estaba en Proyectos).</t>
  </si>
  <si>
    <t>Industrial Protection</t>
  </si>
  <si>
    <t>Cliente: Rugui. Primer contacto registrado 5/6/2026. Recuperado de la hoja de Aarón (no estaba en Proyectos).</t>
  </si>
  <si>
    <t>Tablero del área</t>
  </si>
  <si>
    <t>Todo lo de esta hoja se dibuja solo con lo que escribes en PROYECTOS. No se edita nada aquí.</t>
  </si>
  <si>
    <t>Listos para producir</t>
  </si>
  <si>
    <t>Trabados por el cliente</t>
  </si>
  <si>
    <t>Sin pagar / sin responder</t>
  </si>
  <si>
    <t>Para congelar hoy</t>
  </si>
  <si>
    <t>Cerrados</t>
  </si>
  <si>
    <t>En qué etapa está cada proyecto</t>
  </si>
  <si>
    <t>Esperando catálogo</t>
  </si>
  <si>
    <t>Cuánto trabajo tiene cada uno ahora</t>
  </si>
  <si>
    <t>En qué plataforma va cada tienda</t>
  </si>
  <si>
    <t>Avance de diseño (Juan Carlos)</t>
  </si>
  <si>
    <t>Juan Carlos (diseño, grupo A)</t>
  </si>
  <si>
    <t>Falta material</t>
  </si>
  <si>
    <t>Aarón (desarrollo)</t>
  </si>
  <si>
    <t>Material completo — iniciar diseño</t>
  </si>
  <si>
    <t>Rubit (desarrollo)</t>
  </si>
  <si>
    <t>Personalizado</t>
  </si>
  <si>
    <t>Diseño en curso</t>
  </si>
  <si>
    <t>Luis (desarrollo)</t>
  </si>
  <si>
    <t>Avance listo para presentar</t>
  </si>
  <si>
    <t>SIN DEV ASIGNADO (activos)</t>
  </si>
  <si>
    <t>En revisión del cliente</t>
  </si>
  <si>
    <t>Diseño finalizado</t>
  </si>
  <si>
    <t>Qué falta cobrar</t>
  </si>
  <si>
    <t>Falta el 50% inicial</t>
  </si>
  <si>
    <t>Falta el 30% de diseño</t>
  </si>
  <si>
    <t>Falta el 20% final</t>
  </si>
  <si>
    <t>Para el reporte del viernes: captura esta hoja y pégala en el correo a Luis.</t>
  </si>
  <si>
    <t>Proyectos — Juan Carlos</t>
  </si>
  <si>
    <t>Juan Carlos solo recibe proyectos en GRUPO A (50% pagado + material de diseño completo). Ordenado por la cola de prioridad de diseño; los que no tienen número van al final. No incluye cerrados, congelados, ni los que siguen en grupo B o C.</t>
  </si>
  <si>
    <t>SOLO EDITAS LAS 3 ÚLTIMAS COLUMNAS, las amarillas del final (P, Q y R): «Avance de diseño» (lista desplegable), «Nota de diseño» y «Fecha». Lo que pongas ahí aparece automáticamente en la hoja PROYECTOS. La columna Cliente queda fija al desplazarte a la derecha. Todo lo demás es gris: se lee solo desde PROYECTOS.</t>
  </si>
  <si>
    <t>Prioridad diseño</t>
  </si>
  <si>
    <t>Avance de diseño</t>
  </si>
  <si>
    <t>Nota de diseño</t>
  </si>
  <si>
    <t>Fecha</t>
  </si>
  <si>
    <t>en diseño</t>
  </si>
  <si>
    <t>avance listo</t>
  </si>
  <si>
    <t>Lunes</t>
  </si>
  <si>
    <t>Proyectos — Aarón</t>
  </si>
  <si>
    <t>Proyectos con Dev = Aarón, ordenados por código. No incluye clientes cerrados. Si te asignan uno nuevo, escribe el nombre exacto del cliente en la columna A.</t>
  </si>
  <si>
    <t>SOLO EDITAS LAS 3 ÚLTIMAS COLUMNAS, las amarillas del final (P, Q y R): «Marcar» (lista desplegable), «Nota del dev» y «Fecha». Lo que pongas ahí aparece automáticamente en la hoja PROYECTOS. La columna Cliente queda fija al desplazarte a la derecha. Todo lo demás es gris: se lee solo desde PROYECTOS.</t>
  </si>
  <si>
    <t>Marcar</t>
  </si>
  <si>
    <t>Nota del dev</t>
  </si>
  <si>
    <t>Proyectos — Rubit</t>
  </si>
  <si>
    <t>Proyectos con Dev = Rubit, ordenados por código. No incluye clientes cerrados. Si te asignan uno nuevo, escribe el nombre exacto del cliente en la columna A.</t>
  </si>
  <si>
    <t>Proyectos — Luis</t>
  </si>
  <si>
    <t>Proyectos con Dev = Luis, ordenados por código. No incluye clientes cerrados. Si te asignan uno nuevo, escribe el nombre exacto del cliente en la columna A.</t>
  </si>
  <si>
    <t>Checklists de material</t>
  </si>
  <si>
    <t>Un proyecto no pasa la compuerta hasta que TODO está marcado. Sin excepciones.</t>
  </si>
  <si>
    <t>Compuerta 1 — Material de diseño</t>
  </si>
  <si>
    <t>Bloquea la entrada a DISEÑO. Este es duro: sin esto Juan Carlos no puede empezar y no se negocia.</t>
  </si>
  <si>
    <t>Qué se pide</t>
  </si>
  <si>
    <t>Cómo sabes que está bien</t>
  </si>
  <si>
    <t>☐</t>
  </si>
  <si>
    <t>Logo en vectores (.ai, .svg o .eps)</t>
  </si>
  <si>
    <t>Un JPG del logo NO sirve. Si no lo tiene, avísale a Luis: es trabajo extra.</t>
  </si>
  <si>
    <t>Paleta de colores o manual de marca</t>
  </si>
  <si>
    <t>Si no tiene, que diga al menos 2 colores. No dejar que Juan Carlos invente sin confirmar.</t>
  </si>
  <si>
    <t>Fotos para banners y secciones</t>
  </si>
  <si>
    <t>Mínimo 5, horizontales, más de 1500 px de ancho. Nada bajado de Google.</t>
  </si>
  <si>
    <t>Textos de la web</t>
  </si>
  <si>
    <t>Quién es la empresa, qué vende, contacto. En un documento, no en mensajes sueltos.</t>
  </si>
  <si>
    <t>2 o 3 webs de referencia que le gusten</t>
  </si>
  <si>
    <t>Con link. «Algo moderno» no es una referencia.</t>
  </si>
  <si>
    <t>Solo informativas: fotos de cada servicio</t>
  </si>
  <si>
    <t>Una foto por servicio, mínimo. Reemplaza a las fotos de producto.</t>
  </si>
  <si>
    <t>Compuerta 2 — Acta de aprobación de diseño</t>
  </si>
  <si>
    <t>Bloquea la entrada a DESARROLLO. Sin esto el cliente pide cambios después y nos come el proyecto.</t>
  </si>
  <si>
    <t>Acta de aprobación firmada</t>
  </si>
  <si>
    <t>Correo o PDF donde el cliente dice que aprueba el diseño. Guárdalo en su carpeta.</t>
  </si>
  <si>
    <t>Pago del 30% confirmado</t>
  </si>
  <si>
    <t>Confirmado en el banco, no «ya te transferí».</t>
  </si>
  <si>
    <t>Le explicaste que ya no hay cambios</t>
  </si>
  <si>
    <t>Escrito, en el mismo correo del acta. Que quede constancia.</t>
  </si>
  <si>
    <t>Compuerta 3 — Material de productos</t>
  </si>
  <si>
    <t>Bloquea la CARGA, no el desarrollo. El dev puede construir toda la web sin un solo producto real.</t>
  </si>
  <si>
    <t>Lote piloto: 20 a 30 productos primero</t>
  </si>
  <si>
    <t>Nunca pidas el catálogo completo de entrada. Con 20 filas se detecta si la plantilla está mal.</t>
  </si>
  <si>
    <t>Plantilla llena sin cambiar las cabeceras</t>
  </si>
  <si>
    <t>Si movió o renombró columnas, se devuelve. No lo arregles tú.</t>
  </si>
  <si>
    <t>SKU único en cada fila</t>
  </si>
  <si>
    <t>Ordena la columna y busca repetidos. Un SKU repetido rompe la importación entera.</t>
  </si>
  <si>
    <t>Precio y stock en todas las filas</t>
  </si>
  <si>
    <t>Celdas vacías = productos que no se publican.</t>
  </si>
  <si>
    <t>Fotos nombradas con el SKU (SKU.jpg)</t>
  </si>
  <si>
    <t>Si las fotos se llaman IMG_2043.jpg, se devuelven. Esto le ahorra días al dev.</t>
  </si>
  <si>
    <t>Cada fila de la plantilla tiene su foto</t>
  </si>
  <si>
    <t>Cuenta filas y cuenta archivos. Si no coinciden, se devuelve.</t>
  </si>
  <si>
    <t>Fotos de más de 1000 px, fondo parejo</t>
  </si>
  <si>
    <t>Fotos de WhatsApp comprimidas se ven mal en la tienda.</t>
  </si>
  <si>
    <t>Reglas del tablero</t>
  </si>
  <si>
    <t>Estas reglas las haces cumplir tú. Ningún archivo lo va a hacer por ti.</t>
  </si>
  <si>
    <t>Se jala, no se empuja</t>
  </si>
  <si>
    <t>Nadie reparte trabajo hacia adelante. Cuando un dev cierra un proyecto, él avisa que tiene espacio y recién ahí le entregas la siguiente tarjeta del Grupo A.</t>
  </si>
  <si>
    <t>Columna llena, columna cerrada</t>
  </si>
  <si>
    <t>Diseño aguanta 2. Cada dev aguanta 2 en desarrollo. Cuando está lleno no se mete un tercero: se ayuda a sacar los que ya están adentro. Diez proyectos al 30% no facturan; dos al 100% sí.</t>
  </si>
  <si>
    <t>Las compuertas no se negocian</t>
  </si>
  <si>
    <t>Sin material de diseño completo no hay diseño. Sin acta firmada y 30% pagado no hay desarrollo. Sin plantilla validada no hay carga. Tú eres quien dice que no.</t>
  </si>
  <si>
    <t>Esperar al cliente no ocupa espacio</t>
  </si>
  <si>
    <t>Un catálogo de 2000 productos no puede tener a un dev bloqueado un mes. Cuando la web está lista y solo falta catálogo, la tarjeta pasa a «Esperando catálogo» y ese dev queda libre para tomar otro proyecto.</t>
  </si>
  <si>
    <t>Avanza el que entrega</t>
  </si>
  <si>
    <t>El orden de la cola no lo decide la antigüedad ni quién reclama más fuerte. Lo decide quién entregó su material. Esto además educa a los clientes solo.</t>
  </si>
  <si>
    <t>Regla de los 15 días</t>
  </si>
  <si>
    <t>Cliente que lleva 15 días sin entregar lo que se le pidió pasa a Congelado, pierde su lugar en la fila y vuelve al final cuando entregue. Se le avisa por escrito el día 10.</t>
  </si>
  <si>
    <t>Regla de los 30 días de catálogo</t>
  </si>
  <si>
    <t>Si a los 30 días el cliente no completó su catálogo, se publica la web con lo que haya cargado y se le entrega. Lo que falte lo sube él: para eso tiene su capacitación.</t>
  </si>
  <si>
    <t>Qué se le escala a Luis</t>
  </si>
  <si>
    <t>Solo tres cosas: cliente que amenaza con cancelar, cliente que pide devolución de dinero, o una decisión técnica que ningún dev sabe resolver. Todo lo demás lo resuelves con Aarón y Rubit. Luis está fuera de la operación diaria por tres meses.</t>
  </si>
  <si>
    <t>Rutina de Julio</t>
  </si>
  <si>
    <t>Cada mañana — 15 min</t>
  </si>
  <si>
    <t>Abre PROYECTOS, ordena por «Acción de hoy» y trabaja de arriba hacia abajo. Manda los mensajes de seguimiento y actualiza «Últ. respuesta» de todos los que respondieron.</t>
  </si>
  <si>
    <t>Cada vez que llega material</t>
  </si>
  <si>
    <t>Revísalo TÚ contra el checklist antes de pasarlo. Si falta algo, se devuelve completo con la lista de lo que falta — no en pedacitos.</t>
  </si>
  <si>
    <t>Cuando un dev queda libre</t>
  </si>
  <si>
    <t>Mira la hoja TABLERO, confirma que no pasa el límite de 2, y entrégale el primer Grupo A de la cola.</t>
  </si>
  <si>
    <t>Viernes — 20 min</t>
  </si>
  <si>
    <t>Captura la hoja TABLERO y mándasela a Luis con una línea por cada proyecto trabado.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</si>
</sst>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</numFmts>
  <fonts count="44">
    <font>
      <sz val="11"/>
      <color theme="1"/>
      <name val="Calibri"/>
      <charset val="1"/>
    </font>
    <font>
      <b/>
      <sz val="16"/>
      <color rgb="FF16233D"/>
      <name val="Arial"/>
      <charset val="1"/>
    </font>
    <font>
      <i/>
      <sz val="10"/>
      <color rgb="FF5A678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rgb="FF16233D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sz val="9"/>
      <color rgb="FF6B6B66"/>
      <name val="Arial"/>
      <charset val="1"/>
    </font>
    <font>
      <b/>
      <sz val="9"/>
      <color rgb="FF1F4E79"/>
      <name val="Arial"/>
      <charset val="1"/>
    </font>
    <font>
      <b/>
      <sz val="9"/>
      <color rgb="FFFFFFFF"/>
      <name val="Arial"/>
      <charset val="1"/>
    </font>
    <font>
      <b/>
      <sz val="9"/>
      <color rgb="FF2B2B2B"/>
      <name val="Arial"/>
      <charset val="1"/>
    </font>
    <font>
      <sz val="9"/>
      <color rgb="FF2B2B2B"/>
      <name val="Arial"/>
      <charset val="1"/>
    </font>
    <font>
      <b/>
      <sz val="9"/>
      <color rgb="FFB26B00"/>
      <name val="Arial"/>
      <charset val="1"/>
    </font>
    <font>
      <b/>
      <sz val="26"/>
      <color rgb="FF0B6E5F"/>
      <name val="Arial"/>
      <charset val="1"/>
    </font>
    <font>
      <b/>
      <sz val="26"/>
      <color rgb="FFB26B00"/>
      <name val="Arial"/>
      <charset val="1"/>
    </font>
    <font>
      <b/>
      <sz val="26"/>
      <color rgb="FFA62B22"/>
      <name val="Arial"/>
      <charset val="1"/>
    </font>
    <font>
      <b/>
      <sz val="26"/>
      <color rgb="FF16233D"/>
      <name val="Arial"/>
      <charset val="1"/>
    </font>
    <font>
      <b/>
      <sz val="9"/>
      <color rgb="FF0B6E5F"/>
      <name val="Arial"/>
      <charset val="1"/>
    </font>
    <font>
      <b/>
      <sz val="9"/>
      <color rgb="FFA62B22"/>
      <name val="Arial"/>
      <charset val="1"/>
    </font>
    <font>
      <b/>
      <sz val="9"/>
      <color rgb="FF16233D"/>
      <name val="Arial"/>
      <charset val="1"/>
    </font>
    <font>
      <b/>
      <sz val="11"/>
      <color rgb="FF1F4E79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CEFEA"/>
        <bgColor rgb="FFDDEBF7"/>
      </patternFill>
    </fill>
    <fill>
      <patternFill patternType="solid">
        <fgColor rgb="FFFFF2CC"/>
        <bgColor rgb="FFFBEEDA"/>
      </patternFill>
    </fill>
    <fill>
      <patternFill patternType="solid">
        <fgColor rgb="FF16233D"/>
        <bgColor rgb="FF1C1C1C"/>
      </patternFill>
    </fill>
    <fill>
      <patternFill patternType="solid">
        <fgColor rgb="FF1C1C1C"/>
        <bgColor rgb="FF16233D"/>
      </patternFill>
    </fill>
    <fill>
      <patternFill patternType="solid">
        <fgColor rgb="FFDDEBF7"/>
        <bgColor rgb="FFDCEFEA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3"/>
      </patternFill>
    </fill>
    <fill>
      <patternFill patternType="solid">
        <fgColor rgb="FFB08404"/>
        <bgColor rgb="FFB26B00"/>
      </patternFill>
    </fill>
    <fill>
      <patternFill patternType="solid">
        <fgColor rgb="FFFFF9E3"/>
        <bgColor rgb="FFF7F7F5"/>
      </patternFill>
    </fill>
    <fill>
      <patternFill patternType="solid">
        <fgColor rgb="FFFBEEDA"/>
        <bgColor rgb="FFFFF2CC"/>
      </patternFill>
    </fill>
    <fill>
      <patternFill patternType="solid">
        <fgColor rgb="FFF7DEDB"/>
        <bgColor rgb="FFFBEEDA"/>
      </patternFill>
    </fill>
    <fill>
      <patternFill patternType="solid">
        <fgColor rgb="FFE7EAF0"/>
        <bgColor rgb="FFEFEFE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8CEDA"/>
      </left>
      <right style="thin">
        <color rgb="FFC8CEDA"/>
      </right>
      <top style="thin">
        <color rgb="FFC8CEDA"/>
      </top>
      <bottom style="thin">
        <color rgb="FFC8CEDA"/>
      </bottom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Border="0" applyAlignment="0" applyProtection="0"/>
    <xf numFmtId="44" fontId="23" fillId="0" borderId="0" applyBorder="0" applyAlignment="0" applyProtection="0"/>
    <xf numFmtId="9" fontId="23" fillId="0" borderId="0" applyBorder="0" applyAlignment="0" applyProtection="0"/>
    <xf numFmtId="41" fontId="23" fillId="0" borderId="0" applyBorder="0" applyAlignment="0" applyProtection="0"/>
    <xf numFmtId="42" fontId="23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6" applyNumberFormat="0" applyAlignment="0" applyProtection="0">
      <alignment vertical="center"/>
    </xf>
    <xf numFmtId="0" fontId="34" fillId="16" borderId="7" applyNumberFormat="0" applyAlignment="0" applyProtection="0">
      <alignment vertical="center"/>
    </xf>
    <xf numFmtId="0" fontId="35" fillId="16" borderId="6" applyNumberFormat="0" applyAlignment="0" applyProtection="0">
      <alignment vertical="center"/>
    </xf>
    <xf numFmtId="0" fontId="36" fillId="17" borderId="8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/>
    <xf numFmtId="0" fontId="3" fillId="3" borderId="1" xfId="0" applyFont="1" applyFill="1" applyBorder="1" applyAlignment="1">
      <alignment vertical="top" wrapText="1"/>
    </xf>
    <xf numFmtId="0" fontId="5" fillId="0" borderId="0" xfId="0" applyFont="1" applyBorder="1" applyAlignment="1"/>
    <xf numFmtId="0" fontId="2" fillId="0" borderId="0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5" borderId="0" xfId="0" applyFont="1" applyFill="1" applyBorder="1"/>
    <xf numFmtId="0" fontId="8" fillId="0" borderId="0" xfId="0" applyFont="1" applyBorder="1"/>
    <xf numFmtId="0" fontId="9" fillId="6" borderId="0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176" fontId="12" fillId="8" borderId="2" xfId="0" applyNumberFormat="1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 wrapText="1"/>
    </xf>
    <xf numFmtId="176" fontId="12" fillId="10" borderId="2" xfId="0" applyNumberFormat="1" applyFont="1" applyFill="1" applyBorder="1" applyAlignment="1">
      <alignment horizontal="left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3" fillId="13" borderId="1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 wrapText="1"/>
    </xf>
    <xf numFmtId="9" fontId="12" fillId="7" borderId="2" xfId="0" applyNumberFormat="1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13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3" fillId="12" borderId="1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ont>
        <color rgb="FFB26B00"/>
      </font>
      <fill>
        <patternFill patternType="solid">
          <bgColor rgb="FFFBEEDA"/>
        </patternFill>
      </fill>
    </dxf>
    <dxf>
      <font>
        <color rgb="FFA62B22"/>
      </font>
      <fill>
        <patternFill patternType="solid">
          <bgColor rgb="FFF7DEDB"/>
        </patternFill>
      </fill>
    </dxf>
    <dxf>
      <font>
        <b val="1"/>
        <color rgb="FFA62B22"/>
      </font>
      <fill>
        <patternFill patternType="solid">
          <bgColor rgb="FFF7DEDB"/>
        </patternFill>
      </fill>
    </dxf>
    <dxf>
      <font>
        <b val="1"/>
        <color rgb="FFB26B00"/>
      </font>
      <fill>
        <patternFill patternType="solid">
          <bgColor rgb="FFFBEEDA"/>
        </patternFill>
      </fill>
    </dxf>
    <dxf>
      <font>
        <b val="1"/>
        <color rgb="FF4A4A47"/>
      </font>
      <fill>
        <patternFill patternType="solid">
          <bgColor rgb="FFEFEFED"/>
        </patternFill>
      </fill>
    </dxf>
    <dxf>
      <font>
        <b val="1"/>
        <color rgb="FF0B6E5F"/>
      </font>
      <fill>
        <patternFill patternType="solid">
          <bgColor rgb="FFDCEFEA"/>
        </patternFill>
      </fill>
    </dxf>
    <dxf>
      <font>
        <color rgb="FF0B6E5F"/>
      </font>
      <fill>
        <patternFill patternType="solid">
          <bgColor rgb="FFDCEFEA"/>
        </patternFill>
      </fill>
    </dxf>
    <dxf>
      <font>
        <color rgb="FFA62B22"/>
      </font>
      <fill>
        <patternFill patternType="solid">
          <bgColor rgb="FFF7DEDB"/>
        </patternFill>
      </fill>
    </dxf>
    <dxf>
      <font>
        <color rgb="FFB26B00"/>
      </font>
      <fill>
        <patternFill patternType="solid">
          <bgColor rgb="FFFBEEDA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name val="Arial"/>
        <scheme val="none"/>
        <charset val="1"/>
        <family val="0"/>
        <b val="1"/>
        <sz val="10"/>
        <color rgb="FFA62B22"/>
      </font>
      <fill>
        <patternFill patternType="solid">
          <bgColor rgb="FFF7DED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08404"/>
      <rgbColor rgb="00800080"/>
      <rgbColor rgb="000B6E5F"/>
      <rgbColor rgb="00B7B7B7"/>
      <rgbColor rgb="006B6B66"/>
      <rgbColor rgb="009999FF"/>
      <rgbColor rgb="004A4A47"/>
      <rgbColor rgb="00FFF9E3"/>
      <rgbColor rgb="00DCEFEA"/>
      <rgbColor rgb="00660066"/>
      <rgbColor rgb="00FF8080"/>
      <rgbColor rgb="000066CC"/>
      <rgbColor rgb="00C8CEDA"/>
      <rgbColor rgb="00000080"/>
      <rgbColor rgb="00FF00FF"/>
      <rgbColor rgb="00F7F7F5"/>
      <rgbColor rgb="0000FFFF"/>
      <rgbColor rgb="00800080"/>
      <rgbColor rgb="00800000"/>
      <rgbColor rgb="00008080"/>
      <rgbColor rgb="000000FF"/>
      <rgbColor rgb="0000CCFF"/>
      <rgbColor rgb="00DDEBF7"/>
      <rgbColor rgb="00E7EAF0"/>
      <rgbColor rgb="00FFF2CC"/>
      <rgbColor rgb="00D9D9D9"/>
      <rgbColor rgb="00FBEEDA"/>
      <rgbColor rgb="00D9D9D6"/>
      <rgbColor rgb="00F7DEDB"/>
      <rgbColor rgb="003366FF"/>
      <rgbColor rgb="0033CCCC"/>
      <rgbColor rgb="0099CC00"/>
      <rgbColor rgb="00FFCC00"/>
      <rgbColor rgb="00FF9900"/>
      <rgbColor rgb="00B26B00"/>
      <rgbColor rgb="005A6780"/>
      <rgbColor rgb="00969696"/>
      <rgbColor rgb="0016233D"/>
      <rgbColor rgb="00339966"/>
      <rgbColor rgb="00003300"/>
      <rgbColor rgb="001C1C1C"/>
      <rgbColor rgb="00A62B22"/>
      <rgbColor rgb="00993366"/>
      <rgbColor rgb="001F4E79"/>
      <rgbColor rgb="00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  <a:ea typeface="Calibri" panose="020F0502020204030204"/>
              </a:rPr>
              <a:t>Proyectos por etapa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  <a:ea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6233D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16233D"/>
              </a:solidFill>
              <a:ln w="0">
                <a:noFill/>
              </a:ln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Calibri" panose="020F0502020204030204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Tablero!$B$10:$B$17</c:f>
              <c:strCache>
                <c:ptCount val="8"/>
                <c:pt idx="0">
                  <c:v>Cola</c:v>
                </c:pt>
                <c:pt idx="1">
                  <c:v>Esperando material</c:v>
                </c:pt>
                <c:pt idx="2">
                  <c:v>Diseño</c:v>
                </c:pt>
                <c:pt idx="3">
                  <c:v>Desarrollo</c:v>
                </c:pt>
                <c:pt idx="4">
                  <c:v>Esperando catálogo</c:v>
                </c:pt>
                <c:pt idx="5">
                  <c:v>QA + entrega</c:v>
                </c:pt>
                <c:pt idx="6">
                  <c:v>Cerrado</c:v>
                </c:pt>
                <c:pt idx="7">
                  <c:v>Congelado</c:v>
                </c:pt>
              </c:strCache>
            </c:strRef>
          </c:cat>
          <c:val>
            <c:numRef>
              <c:f>Tablero!$C$10:$C$17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6</c:v>
                </c:pt>
                <c:pt idx="4">
                  <c:v>0</c:v>
                </c:pt>
                <c:pt idx="5">
                  <c:v>1</c:v>
                </c:pt>
                <c:pt idx="6">
                  <c:v>18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35196879"/>
        <c:axId val="15841521"/>
      </c:barChart>
      <c:catAx>
        <c:axId val="35196879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</a:rPr>
                  <a:t>None</a:t>
                </a:r>
                <a:endParaRPr sz="1000" b="0" strike="noStrike" spc="-1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5841521"/>
        <c:crosses val="autoZero"/>
        <c:auto val="1"/>
        <c:lblAlgn val="ctr"/>
        <c:lblOffset val="100"/>
        <c:noMultiLvlLbl val="0"/>
      </c:catAx>
      <c:valAx>
        <c:axId val="15841521"/>
        <c:scaling>
          <c:orientation val="minMax"/>
        </c:scaling>
        <c:delete val="0"/>
        <c:axPos val="b"/>
        <c:majorGridlines>
          <c:spPr>
            <a:ln w="648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</a:rPr>
                  <a:t>None</a:t>
                </a:r>
                <a:endParaRPr sz="1000" b="0" strike="noStrike" spc="-1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3519687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25f8096-25f1-41c2-8c49-46aaf0a7794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 panose="020F0502020204030204"/>
                <a:ea typeface="Calibri" panose="020F0502020204030204"/>
              </a:rPr>
              <a:t>Carga actual (el máximo de cada uno es 2)</a:t>
            </a:r>
            <a:endParaRPr sz="1400" b="1" strike="noStrike" spc="-1">
              <a:solidFill>
                <a:srgbClr val="000000"/>
              </a:solidFill>
              <a:latin typeface="Calibri" panose="020F0502020204030204"/>
              <a:ea typeface="Calibri" panose="020F0502020204030204"/>
            </a:endParaRPr>
          </a:p>
        </c:rich>
      </c:tx>
      <c:layout>
        <c:manualLayout>
          <c:xMode val="edge"/>
          <c:yMode val="edge"/>
          <c:x val="0.210553353882284"/>
          <c:y val="0.0813800368712141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26B00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26B00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B26B00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Calibri" panose="020F0502020204030204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Calibri" panose="020F0502020204030204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Tablero!$B$21:$B$23</c:f>
              <c:strCache>
                <c:ptCount val="3"/>
                <c:pt idx="0">
                  <c:v>Juan Carlos (diseño, grupo A)</c:v>
                </c:pt>
                <c:pt idx="1">
                  <c:v>Aarón (desarrollo)</c:v>
                </c:pt>
                <c:pt idx="2">
                  <c:v>Rubit (desarrollo)</c:v>
                </c:pt>
              </c:strCache>
            </c:strRef>
          </c:cat>
          <c:val>
            <c:numRef>
              <c:f>Tablero!$C$21:$C$23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59277092"/>
        <c:axId val="11399497"/>
      </c:barChart>
      <c:catAx>
        <c:axId val="592770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</a:rPr>
                  <a:t>None</a:t>
                </a:r>
                <a:endParaRPr sz="1000" b="0" strike="noStrike" spc="-1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11399497"/>
        <c:crosses val="autoZero"/>
        <c:auto val="1"/>
        <c:lblAlgn val="ctr"/>
        <c:lblOffset val="100"/>
        <c:noMultiLvlLbl val="0"/>
      </c:catAx>
      <c:valAx>
        <c:axId val="11399497"/>
        <c:scaling>
          <c:orientation val="minMax"/>
          <c:max val="3"/>
        </c:scaling>
        <c:delete val="0"/>
        <c:axPos val="l"/>
        <c:majorGridlines>
          <c:spPr>
            <a:ln w="648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</a:rPr>
                  <a:t>None</a:t>
                </a:r>
                <a:endParaRPr sz="1000" b="0" strike="noStrike" spc="-1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+mn-cs"/>
              </a:defRPr>
            </a:pPr>
          </a:p>
        </c:txPr>
        <c:crossAx val="59277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ace504d-20f0-4bca-b266-63038d981f3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181080</xdr:colOff>
      <xdr:row>7</xdr:row>
      <xdr:rowOff>57240</xdr:rowOff>
    </xdr:from>
    <xdr:to>
      <xdr:col>6</xdr:col>
      <xdr:colOff>1491480</xdr:colOff>
      <xdr:row>24</xdr:row>
      <xdr:rowOff>47520</xdr:rowOff>
    </xdr:to>
    <xdr:graphicFrame>
      <xdr:nvGraphicFramePr>
        <xdr:cNvPr id="2" name="Chart 1"/>
        <xdr:cNvGraphicFramePr/>
      </xdr:nvGraphicFramePr>
      <xdr:xfrm>
        <a:off x="2781300" y="1905000"/>
        <a:ext cx="4710430" cy="323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162000</xdr:colOff>
      <xdr:row>24</xdr:row>
      <xdr:rowOff>123840</xdr:rowOff>
    </xdr:from>
    <xdr:to>
      <xdr:col>6</xdr:col>
      <xdr:colOff>1472400</xdr:colOff>
      <xdr:row>38</xdr:row>
      <xdr:rowOff>133200</xdr:rowOff>
    </xdr:to>
    <xdr:graphicFrame>
      <xdr:nvGraphicFramePr>
        <xdr:cNvPr id="3" name="Chart 2"/>
        <xdr:cNvGraphicFramePr/>
      </xdr:nvGraphicFramePr>
      <xdr:xfrm>
        <a:off x="2762250" y="5219700"/>
        <a:ext cx="4710430" cy="27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380952380952" defaultRowHeight="15"/>
  <cols>
    <col min="1" max="1" width="3" customWidth="1"/>
    <col min="2" max="2" width="24" customWidth="1"/>
    <col min="3" max="3" width="95" customWidth="1"/>
    <col min="4" max="6" width="8.71428571428571" customWidth="1"/>
  </cols>
  <sheetData>
    <row r="1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 spans="1:26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" customHeight="1" spans="1:26">
      <c r="A4" s="1"/>
      <c r="B4" s="1"/>
      <c r="C4" s="47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Height="1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Height="1" spans="1:26">
      <c r="A6" s="1"/>
      <c r="B6" s="8" t="s">
        <v>2</v>
      </c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 spans="1:26">
      <c r="A7" s="1"/>
      <c r="B7" s="48" t="s">
        <v>3</v>
      </c>
      <c r="C7" s="49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 spans="1:26">
      <c r="A8" s="1"/>
      <c r="B8" s="48" t="s">
        <v>5</v>
      </c>
      <c r="C8" s="49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 spans="1:26">
      <c r="A9" s="1"/>
      <c r="B9" s="48" t="s">
        <v>7</v>
      </c>
      <c r="C9" s="4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 spans="1:26">
      <c r="A10" s="1"/>
      <c r="B10" s="48" t="s">
        <v>9</v>
      </c>
      <c r="C10" s="49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 spans="1:26">
      <c r="A11" s="1"/>
      <c r="B11" s="48" t="s">
        <v>11</v>
      </c>
      <c r="C11" s="49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 spans="1:26">
      <c r="A12" s="1"/>
      <c r="B12" s="48" t="s">
        <v>13</v>
      </c>
      <c r="C12" s="49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Height="1" spans="1:26">
      <c r="A13" s="1"/>
      <c r="B13" s="8" t="s">
        <v>15</v>
      </c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 spans="1:26">
      <c r="A14" s="1"/>
      <c r="B14" s="50" t="s">
        <v>16</v>
      </c>
      <c r="C14" s="49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 spans="1:26">
      <c r="A15" s="1"/>
      <c r="B15" s="51" t="s">
        <v>18</v>
      </c>
      <c r="C15" s="49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 spans="1:26">
      <c r="A16" s="1"/>
      <c r="B16" s="52" t="s">
        <v>20</v>
      </c>
      <c r="C16" s="49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 spans="1:26">
      <c r="A17" s="1"/>
      <c r="B17" s="53" t="s">
        <v>22</v>
      </c>
      <c r="C17" s="49" t="s">
        <v>23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 spans="1:26">
      <c r="A18" s="1"/>
      <c r="B18" s="54" t="s">
        <v>24</v>
      </c>
      <c r="C18" s="49" t="s">
        <v>25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1"/>
      <c r="B19" s="8" t="s">
        <v>26</v>
      </c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 spans="1:26">
      <c r="A20" s="1"/>
      <c r="B20" s="48"/>
      <c r="C20" s="49" t="s">
        <v>27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C2"/>
    <mergeCell ref="B6:C6"/>
    <mergeCell ref="B13:C13"/>
    <mergeCell ref="B19:C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0"/>
  <sheetViews>
    <sheetView showGridLines="0" tabSelected="1" workbookViewId="0">
      <pane xSplit="3" ySplit="3" topLeftCell="D4" activePane="bottomRight" state="frozen"/>
      <selection/>
      <selection pane="topRight"/>
      <selection pane="bottomLeft"/>
      <selection pane="bottomRight" activeCell="C7" sqref="C7"/>
    </sheetView>
  </sheetViews>
  <sheetFormatPr defaultColWidth="8.67619047619048" defaultRowHeight="15"/>
  <cols>
    <col min="1" max="1" width="13" customWidth="1"/>
    <col min="2" max="2" width="9" customWidth="1"/>
    <col min="3" max="3" width="24" customWidth="1"/>
    <col min="4" max="4" width="28" customWidth="1"/>
    <col min="5" max="5" width="12" customWidth="1"/>
    <col min="6" max="6" width="14" customWidth="1"/>
    <col min="7" max="7" width="17" customWidth="1"/>
    <col min="8" max="9" width="13" customWidth="1"/>
    <col min="10" max="10" width="26" customWidth="1"/>
    <col min="11" max="11" width="7" customWidth="1"/>
    <col min="12" max="12" width="30" customWidth="1"/>
    <col min="13" max="15" width="10" customWidth="1"/>
    <col min="16" max="16" width="15" customWidth="1"/>
    <col min="17" max="17" width="18" customWidth="1"/>
    <col min="18" max="18" width="9" customWidth="1"/>
    <col min="19" max="19" width="12" customWidth="1"/>
    <col min="20" max="21" width="9" customWidth="1"/>
    <col min="22" max="22" width="26" customWidth="1"/>
    <col min="23" max="23" width="15" customWidth="1"/>
    <col min="24" max="24" width="11" customWidth="1"/>
    <col min="25" max="25" width="34" customWidth="1"/>
    <col min="26" max="26" width="20" customWidth="1"/>
    <col min="27" max="27" width="26" customWidth="1"/>
    <col min="28" max="28" width="24" customWidth="1"/>
  </cols>
  <sheetData>
    <row r="1" ht="25.5" customHeight="1" spans="1:28">
      <c r="A1" s="36" t="s">
        <v>28</v>
      </c>
      <c r="B1" s="36"/>
      <c r="C1" s="37"/>
      <c r="D1" s="37"/>
      <c r="E1" s="37"/>
      <c r="F1" s="38" t="str">
        <f>IF($C$1="","",COUNTIF($C$4:$C$60,"*"&amp;$C$1&amp;"*")&amp;" coincidencia(s)")</f>
        <v/>
      </c>
      <c r="G1" s="38"/>
      <c r="H1" s="39" t="s">
        <v>29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7.5" customHeight="1"/>
    <row r="3" ht="31.5" customHeight="1" spans="1:28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34</v>
      </c>
      <c r="F3" s="15" t="s">
        <v>35</v>
      </c>
      <c r="G3" s="15" t="s">
        <v>36</v>
      </c>
      <c r="H3" s="15" t="s">
        <v>37</v>
      </c>
      <c r="I3" s="15" t="s">
        <v>38</v>
      </c>
      <c r="J3" s="15" t="s">
        <v>39</v>
      </c>
      <c r="K3" s="15" t="s">
        <v>40</v>
      </c>
      <c r="L3" s="15" t="s">
        <v>41</v>
      </c>
      <c r="M3" s="15" t="s">
        <v>42</v>
      </c>
      <c r="N3" s="15" t="s">
        <v>43</v>
      </c>
      <c r="O3" s="15" t="s">
        <v>44</v>
      </c>
      <c r="P3" s="15" t="s">
        <v>45</v>
      </c>
      <c r="Q3" s="15" t="s">
        <v>46</v>
      </c>
      <c r="R3" s="15" t="s">
        <v>47</v>
      </c>
      <c r="S3" s="15" t="s">
        <v>48</v>
      </c>
      <c r="T3" s="15" t="s">
        <v>49</v>
      </c>
      <c r="U3" s="15" t="s">
        <v>50</v>
      </c>
      <c r="V3" s="15" t="s">
        <v>51</v>
      </c>
      <c r="W3" s="15" t="s">
        <v>52</v>
      </c>
      <c r="X3" s="15" t="s">
        <v>53</v>
      </c>
      <c r="Y3" s="15" t="s">
        <v>54</v>
      </c>
      <c r="Z3" s="15" t="s">
        <v>55</v>
      </c>
      <c r="AA3" s="15" t="s">
        <v>56</v>
      </c>
      <c r="AB3" s="15" t="s">
        <v>57</v>
      </c>
    </row>
    <row r="4" ht="30" customHeight="1" spans="1:28">
      <c r="A4" s="40"/>
      <c r="B4" s="41" t="s">
        <v>58</v>
      </c>
      <c r="C4" s="42" t="s">
        <v>59</v>
      </c>
      <c r="D4" s="42"/>
      <c r="E4" s="42" t="s">
        <v>60</v>
      </c>
      <c r="F4" s="42" t="s">
        <v>61</v>
      </c>
      <c r="G4" s="42" t="s">
        <v>62</v>
      </c>
      <c r="H4" s="42" t="s">
        <v>63</v>
      </c>
      <c r="I4" s="42" t="s">
        <v>64</v>
      </c>
      <c r="J4" s="43" t="str">
        <f>IFERROR(INDEX('Juan Carlos'!$P:$P,MATCH($C4,'Juan Carlos'!$A:$A,0))&amp;"","")</f>
        <v/>
      </c>
      <c r="K4" s="20" t="str">
        <f t="shared" ref="K4:K60" si="0">IF($C4="","",IF($M4&lt;&gt;"Sí","C",IF($P4="Completo","A","B")))</f>
        <v>B</v>
      </c>
      <c r="L4" s="43" t="str">
        <f ca="1" t="shared" ref="L4:L60" si="1">IF($C4="","",IF($G4="Congelado","Congelado — mensaje cada 15 días",IF(N($X4)&gt;15,"CONGELAR HOY",IF($M4&lt;&gt;"Sí","COBRAR EL 50%",IF($P4&lt;&gt;"Completo","PERSEGUIR MATERIAL",IF(AND($G4="Desarrollo",$N4&lt;&gt;"Sí"),"COBRAR EL 30%",IF(AND($G4="QA + entrega",$O4&lt;&gt;"Sí"),"COBRAR EL 20%",IF($G4="Cola","Listo para asignar","Al día"))))))))</f>
        <v>CONGELAR HOY</v>
      </c>
      <c r="M4" s="42" t="s">
        <v>65</v>
      </c>
      <c r="N4" s="42" t="s">
        <v>65</v>
      </c>
      <c r="O4" s="42" t="s">
        <v>66</v>
      </c>
      <c r="P4" s="42" t="s">
        <v>67</v>
      </c>
      <c r="Q4" s="42" t="s">
        <v>68</v>
      </c>
      <c r="R4" s="42"/>
      <c r="S4" s="42"/>
      <c r="T4" s="42"/>
      <c r="U4" s="44" t="str">
        <f t="shared" ref="U4:U60" si="2">IF(N($R4)=0,"",$T4/$R4)</f>
        <v/>
      </c>
      <c r="V4" s="23" t="s">
        <v>69</v>
      </c>
      <c r="W4" s="24">
        <v>46174</v>
      </c>
      <c r="X4" s="45">
        <f ca="1" t="shared" ref="X4:X60" si="3">IF($W4="","",TODAY()-$W4)</f>
        <v>63</v>
      </c>
      <c r="Y4" s="23" t="s">
        <v>70</v>
      </c>
      <c r="Z4" s="46" t="str">
        <f>IFERROR(INDEX(Aarón!$P:$P,MATCH($C4,Aarón!$A:$A,0))&amp;"",IFERROR(INDEX(Rubit!$P:$P,MATCH($C4,Rubit!$A:$A,0))&amp;"",IFERROR(INDEX(Luis!$P:$P,MATCH($C4,Luis!$A:$A,0))&amp;"","")))</f>
        <v/>
      </c>
      <c r="AA4" s="43" t="str">
        <f>IFERROR(INDEX(Aarón!$Q:$Q,MATCH($C4,Aarón!$A:$A,0))&amp;"",IFERROR(INDEX(Rubit!$Q:$Q,MATCH($C4,Rubit!$A:$A,0))&amp;"",IFERROR(INDEX(Luis!$Q:$Q,MATCH($C4,Luis!$A:$A,0))&amp;"","")))</f>
        <v/>
      </c>
      <c r="AB4" s="43" t="str">
        <f>IFERROR(INDEX('Juan Carlos'!$Q:$Q,MATCH($C4,'Juan Carlos'!$A:$A,0))&amp;"","")</f>
        <v/>
      </c>
    </row>
    <row r="5" ht="30" customHeight="1" spans="1:28">
      <c r="A5" s="40"/>
      <c r="B5" s="41" t="s">
        <v>71</v>
      </c>
      <c r="C5" s="42" t="s">
        <v>72</v>
      </c>
      <c r="D5" s="42"/>
      <c r="E5" s="42" t="s">
        <v>73</v>
      </c>
      <c r="F5" s="42" t="s">
        <v>61</v>
      </c>
      <c r="G5" s="42" t="s">
        <v>62</v>
      </c>
      <c r="H5" s="42" t="s">
        <v>74</v>
      </c>
      <c r="I5" s="42" t="s">
        <v>64</v>
      </c>
      <c r="J5" s="43" t="str">
        <f>IFERROR(INDEX('Juan Carlos'!$P:$P,MATCH($C5,'Juan Carlos'!$A:$A,0))&amp;"","")</f>
        <v/>
      </c>
      <c r="K5" s="20" t="str">
        <f t="shared" si="0"/>
        <v>A</v>
      </c>
      <c r="L5" s="43" t="str">
        <f ca="1" t="shared" si="1"/>
        <v>CONGELAR HOY</v>
      </c>
      <c r="M5" s="42" t="s">
        <v>65</v>
      </c>
      <c r="N5" s="42" t="s">
        <v>66</v>
      </c>
      <c r="O5" s="42" t="s">
        <v>66</v>
      </c>
      <c r="P5" s="42" t="s">
        <v>75</v>
      </c>
      <c r="Q5" s="42" t="s">
        <v>76</v>
      </c>
      <c r="R5" s="42"/>
      <c r="S5" s="42"/>
      <c r="T5" s="42"/>
      <c r="U5" s="44" t="str">
        <f t="shared" si="2"/>
        <v/>
      </c>
      <c r="V5" s="23" t="s">
        <v>77</v>
      </c>
      <c r="W5" s="24">
        <v>46211</v>
      </c>
      <c r="X5" s="45">
        <f ca="1" t="shared" si="3"/>
        <v>26</v>
      </c>
      <c r="Y5" s="23" t="s">
        <v>78</v>
      </c>
      <c r="Z5" s="46" t="str">
        <f>IFERROR(INDEX(Aarón!$P:$P,MATCH($C5,Aarón!$A:$A,0))&amp;"",IFERROR(INDEX(Rubit!$P:$P,MATCH($C5,Rubit!$A:$A,0))&amp;"",IFERROR(INDEX(Luis!$P:$P,MATCH($C5,Luis!$A:$A,0))&amp;"","")))</f>
        <v/>
      </c>
      <c r="AA5" s="43" t="str">
        <f>IFERROR(INDEX(Aarón!$Q:$Q,MATCH($C5,Aarón!$A:$A,0))&amp;"",IFERROR(INDEX(Rubit!$Q:$Q,MATCH($C5,Rubit!$A:$A,0))&amp;"",IFERROR(INDEX(Luis!$Q:$Q,MATCH($C5,Luis!$A:$A,0))&amp;"","")))</f>
        <v/>
      </c>
      <c r="AB5" s="43" t="str">
        <f>IFERROR(INDEX('Juan Carlos'!$Q:$Q,MATCH($C5,'Juan Carlos'!$A:$A,0))&amp;"","")</f>
        <v/>
      </c>
    </row>
    <row r="6" ht="30" customHeight="1" spans="1:28">
      <c r="A6" s="40"/>
      <c r="B6" s="41" t="s">
        <v>79</v>
      </c>
      <c r="C6" s="42" t="s">
        <v>80</v>
      </c>
      <c r="D6" s="42"/>
      <c r="E6" s="42" t="s">
        <v>60</v>
      </c>
      <c r="F6" s="42" t="s">
        <v>61</v>
      </c>
      <c r="G6" s="42" t="s">
        <v>62</v>
      </c>
      <c r="H6" s="42" t="s">
        <v>74</v>
      </c>
      <c r="I6" s="42" t="s">
        <v>64</v>
      </c>
      <c r="J6" s="43" t="str">
        <f>IFERROR(INDEX('Juan Carlos'!$P:$P,MATCH($C6,'Juan Carlos'!$A:$A,0))&amp;"","")</f>
        <v/>
      </c>
      <c r="K6" s="20" t="str">
        <f t="shared" si="0"/>
        <v>B</v>
      </c>
      <c r="L6" s="43" t="str">
        <f ca="1" t="shared" si="1"/>
        <v>CONGELAR HOY</v>
      </c>
      <c r="M6" s="42" t="s">
        <v>65</v>
      </c>
      <c r="N6" s="42" t="s">
        <v>65</v>
      </c>
      <c r="O6" s="42" t="s">
        <v>66</v>
      </c>
      <c r="P6" s="42" t="s">
        <v>67</v>
      </c>
      <c r="Q6" s="42" t="s">
        <v>81</v>
      </c>
      <c r="R6" s="42"/>
      <c r="S6" s="42"/>
      <c r="T6" s="42"/>
      <c r="U6" s="44" t="str">
        <f t="shared" si="2"/>
        <v/>
      </c>
      <c r="V6" s="23" t="s">
        <v>82</v>
      </c>
      <c r="W6" s="24">
        <v>46192</v>
      </c>
      <c r="X6" s="45">
        <f ca="1" t="shared" si="3"/>
        <v>45</v>
      </c>
      <c r="Y6" s="23" t="s">
        <v>83</v>
      </c>
      <c r="Z6" s="46" t="str">
        <f>IFERROR(INDEX(Aarón!$P:$P,MATCH($C6,Aarón!$A:$A,0))&amp;"",IFERROR(INDEX(Rubit!$P:$P,MATCH($C6,Rubit!$A:$A,0))&amp;"",IFERROR(INDEX(Luis!$P:$P,MATCH($C6,Luis!$A:$A,0))&amp;"","")))</f>
        <v/>
      </c>
      <c r="AA6" s="43" t="str">
        <f>IFERROR(INDEX(Aarón!$Q:$Q,MATCH($C6,Aarón!$A:$A,0))&amp;"",IFERROR(INDEX(Rubit!$Q:$Q,MATCH($C6,Rubit!$A:$A,0))&amp;"",IFERROR(INDEX(Luis!$Q:$Q,MATCH($C6,Luis!$A:$A,0))&amp;"","")))</f>
        <v/>
      </c>
      <c r="AB6" s="43" t="str">
        <f>IFERROR(INDEX('Juan Carlos'!$Q:$Q,MATCH($C6,'Juan Carlos'!$A:$A,0))&amp;"","")</f>
        <v/>
      </c>
    </row>
    <row r="7" ht="30" customHeight="1" spans="1:28">
      <c r="A7" s="40"/>
      <c r="B7" s="41" t="s">
        <v>84</v>
      </c>
      <c r="C7" s="42" t="s">
        <v>85</v>
      </c>
      <c r="D7" s="42"/>
      <c r="E7" s="42" t="s">
        <v>60</v>
      </c>
      <c r="F7" s="42" t="s">
        <v>61</v>
      </c>
      <c r="G7" s="42" t="s">
        <v>86</v>
      </c>
      <c r="H7" s="42" t="s">
        <v>74</v>
      </c>
      <c r="I7" s="42" t="s">
        <v>64</v>
      </c>
      <c r="J7" s="43" t="str">
        <f>IFERROR(INDEX('Juan Carlos'!$P:$P,MATCH($C7,'Juan Carlos'!$A:$A,0))&amp;"","")</f>
        <v/>
      </c>
      <c r="K7" s="20" t="str">
        <f t="shared" si="0"/>
        <v>B</v>
      </c>
      <c r="L7" s="43" t="str">
        <f ca="1" t="shared" si="1"/>
        <v>PERSEGUIR MATERIAL</v>
      </c>
      <c r="M7" s="42" t="s">
        <v>65</v>
      </c>
      <c r="N7" s="42" t="s">
        <v>76</v>
      </c>
      <c r="O7" s="42" t="s">
        <v>76</v>
      </c>
      <c r="P7" s="42" t="s">
        <v>87</v>
      </c>
      <c r="Q7" s="42" t="s">
        <v>81</v>
      </c>
      <c r="R7" s="42"/>
      <c r="S7" s="42"/>
      <c r="T7" s="42"/>
      <c r="U7" s="44" t="str">
        <f t="shared" si="2"/>
        <v/>
      </c>
      <c r="V7" s="23" t="s">
        <v>88</v>
      </c>
      <c r="W7" s="24"/>
      <c r="X7" s="45" t="str">
        <f ca="1" t="shared" si="3"/>
        <v/>
      </c>
      <c r="Y7" s="23" t="s">
        <v>89</v>
      </c>
      <c r="Z7" s="46" t="str">
        <f>IFERROR(INDEX(Aarón!$P:$P,MATCH($C7,Aarón!$A:$A,0))&amp;"",IFERROR(INDEX(Rubit!$P:$P,MATCH($C7,Rubit!$A:$A,0))&amp;"",IFERROR(INDEX(Luis!$P:$P,MATCH($C7,Luis!$A:$A,0))&amp;"","")))</f>
        <v/>
      </c>
      <c r="AA7" s="43" t="str">
        <f>IFERROR(INDEX(Aarón!$Q:$Q,MATCH($C7,Aarón!$A:$A,0))&amp;"",IFERROR(INDEX(Rubit!$Q:$Q,MATCH($C7,Rubit!$A:$A,0))&amp;"",IFERROR(INDEX(Luis!$Q:$Q,MATCH($C7,Luis!$A:$A,0))&amp;"","")))</f>
        <v/>
      </c>
      <c r="AB7" s="43" t="str">
        <f>IFERROR(INDEX('Juan Carlos'!$Q:$Q,MATCH($C7,'Juan Carlos'!$A:$A,0))&amp;"","")</f>
        <v/>
      </c>
    </row>
    <row r="8" ht="30" customHeight="1" spans="1:28">
      <c r="A8" s="40"/>
      <c r="B8" s="41" t="s">
        <v>90</v>
      </c>
      <c r="C8" s="42" t="s">
        <v>91</v>
      </c>
      <c r="D8" s="42"/>
      <c r="E8" s="42" t="s">
        <v>60</v>
      </c>
      <c r="F8" s="42" t="s">
        <v>61</v>
      </c>
      <c r="G8" s="42" t="s">
        <v>92</v>
      </c>
      <c r="H8" s="42" t="s">
        <v>74</v>
      </c>
      <c r="I8" s="42" t="s">
        <v>64</v>
      </c>
      <c r="J8" s="43" t="str">
        <f>IFERROR(INDEX('Juan Carlos'!$P:$P,MATCH($C8,'Juan Carlos'!$A:$A,0))&amp;"","")</f>
        <v/>
      </c>
      <c r="K8" s="20" t="str">
        <f t="shared" si="0"/>
        <v>A</v>
      </c>
      <c r="L8" s="43" t="str">
        <f ca="1" t="shared" si="1"/>
        <v>Congelado — mensaje cada 15 días</v>
      </c>
      <c r="M8" s="42" t="s">
        <v>65</v>
      </c>
      <c r="N8" s="42" t="s">
        <v>65</v>
      </c>
      <c r="O8" s="42" t="s">
        <v>66</v>
      </c>
      <c r="P8" s="42" t="s">
        <v>75</v>
      </c>
      <c r="Q8" s="42" t="s">
        <v>68</v>
      </c>
      <c r="R8" s="42"/>
      <c r="S8" s="42"/>
      <c r="T8" s="42"/>
      <c r="U8" s="44" t="str">
        <f t="shared" si="2"/>
        <v/>
      </c>
      <c r="V8" s="23" t="s">
        <v>93</v>
      </c>
      <c r="W8" s="24"/>
      <c r="X8" s="45" t="str">
        <f ca="1" t="shared" si="3"/>
        <v/>
      </c>
      <c r="Y8" s="23" t="s">
        <v>94</v>
      </c>
      <c r="Z8" s="46" t="str">
        <f>IFERROR(INDEX(Aarón!$P:$P,MATCH($C8,Aarón!$A:$A,0))&amp;"",IFERROR(INDEX(Rubit!$P:$P,MATCH($C8,Rubit!$A:$A,0))&amp;"",IFERROR(INDEX(Luis!$P:$P,MATCH($C8,Luis!$A:$A,0))&amp;"","")))</f>
        <v/>
      </c>
      <c r="AA8" s="43" t="str">
        <f>IFERROR(INDEX(Aarón!$Q:$Q,MATCH($C8,Aarón!$A:$A,0))&amp;"",IFERROR(INDEX(Rubit!$Q:$Q,MATCH($C8,Rubit!$A:$A,0))&amp;"",IFERROR(INDEX(Luis!$Q:$Q,MATCH($C8,Luis!$A:$A,0))&amp;"","")))</f>
        <v/>
      </c>
      <c r="AB8" s="43" t="str">
        <f>IFERROR(INDEX('Juan Carlos'!$Q:$Q,MATCH($C8,'Juan Carlos'!$A:$A,0))&amp;"","")</f>
        <v/>
      </c>
    </row>
    <row r="9" ht="30" customHeight="1" spans="1:28">
      <c r="A9" s="40"/>
      <c r="B9" s="41" t="s">
        <v>95</v>
      </c>
      <c r="C9" s="42" t="s">
        <v>96</v>
      </c>
      <c r="D9" s="42"/>
      <c r="E9" s="42" t="s">
        <v>60</v>
      </c>
      <c r="F9" s="42" t="s">
        <v>61</v>
      </c>
      <c r="G9" s="42" t="s">
        <v>77</v>
      </c>
      <c r="H9" s="42" t="s">
        <v>74</v>
      </c>
      <c r="I9" s="42" t="s">
        <v>64</v>
      </c>
      <c r="J9" s="43" t="str">
        <f>IFERROR(INDEX('Juan Carlos'!$P:$P,MATCH($C9,'Juan Carlos'!$A:$A,0))&amp;"","")</f>
        <v>Diseño finalizado</v>
      </c>
      <c r="K9" s="20" t="str">
        <f t="shared" si="0"/>
        <v>A</v>
      </c>
      <c r="L9" s="43" t="str">
        <f ca="1" t="shared" si="1"/>
        <v>CONGELAR HOY</v>
      </c>
      <c r="M9" s="42" t="s">
        <v>65</v>
      </c>
      <c r="N9" s="42" t="s">
        <v>65</v>
      </c>
      <c r="O9" s="42" t="s">
        <v>66</v>
      </c>
      <c r="P9" s="42" t="s">
        <v>75</v>
      </c>
      <c r="Q9" s="42" t="s">
        <v>81</v>
      </c>
      <c r="R9" s="42"/>
      <c r="S9" s="42"/>
      <c r="T9" s="42"/>
      <c r="U9" s="44" t="str">
        <f t="shared" si="2"/>
        <v/>
      </c>
      <c r="V9" s="23" t="s">
        <v>97</v>
      </c>
      <c r="W9" s="24">
        <v>46213</v>
      </c>
      <c r="X9" s="45">
        <f ca="1" t="shared" si="3"/>
        <v>24</v>
      </c>
      <c r="Y9" s="23" t="s">
        <v>98</v>
      </c>
      <c r="Z9" s="46" t="str">
        <f>IFERROR(INDEX(Aarón!$P:$P,MATCH($C9,Aarón!$A:$A,0))&amp;"",IFERROR(INDEX(Rubit!$P:$P,MATCH($C9,Rubit!$A:$A,0))&amp;"",IFERROR(INDEX(Luis!$P:$P,MATCH($C9,Luis!$A:$A,0))&amp;"","")))</f>
        <v/>
      </c>
      <c r="AA9" s="43" t="str">
        <f>IFERROR(INDEX(Aarón!$Q:$Q,MATCH($C9,Aarón!$A:$A,0))&amp;"",IFERROR(INDEX(Rubit!$Q:$Q,MATCH($C9,Rubit!$A:$A,0))&amp;"",IFERROR(INDEX(Luis!$Q:$Q,MATCH($C9,Luis!$A:$A,0))&amp;"","")))</f>
        <v/>
      </c>
      <c r="AB9" s="43" t="str">
        <f>IFERROR(INDEX('Juan Carlos'!$Q:$Q,MATCH($C9,'Juan Carlos'!$A:$A,0))&amp;"","")</f>
        <v/>
      </c>
    </row>
    <row r="10" ht="30" customHeight="1" spans="1:28">
      <c r="A10" s="40"/>
      <c r="B10" s="41" t="s">
        <v>99</v>
      </c>
      <c r="C10" s="42" t="s">
        <v>100</v>
      </c>
      <c r="D10" s="42"/>
      <c r="E10" s="42" t="s">
        <v>60</v>
      </c>
      <c r="F10" s="42" t="s">
        <v>61</v>
      </c>
      <c r="G10" s="42" t="s">
        <v>86</v>
      </c>
      <c r="H10" s="42" t="s">
        <v>63</v>
      </c>
      <c r="I10" s="42" t="s">
        <v>64</v>
      </c>
      <c r="J10" s="43" t="str">
        <f>IFERROR(INDEX('Juan Carlos'!$P:$P,MATCH($C10,'Juan Carlos'!$A:$A,0))&amp;"","")</f>
        <v>Material completo — iniciar diseño</v>
      </c>
      <c r="K10" s="20" t="str">
        <f t="shared" si="0"/>
        <v>A</v>
      </c>
      <c r="L10" s="43" t="str">
        <f ca="1" t="shared" si="1"/>
        <v>Al día</v>
      </c>
      <c r="M10" s="42" t="s">
        <v>65</v>
      </c>
      <c r="N10" s="42" t="s">
        <v>65</v>
      </c>
      <c r="O10" s="42" t="s">
        <v>66</v>
      </c>
      <c r="P10" s="42" t="s">
        <v>75</v>
      </c>
      <c r="Q10" s="42" t="s">
        <v>101</v>
      </c>
      <c r="R10" s="42"/>
      <c r="S10" s="42"/>
      <c r="T10" s="42"/>
      <c r="U10" s="44" t="str">
        <f t="shared" si="2"/>
        <v/>
      </c>
      <c r="V10" s="23" t="s">
        <v>102</v>
      </c>
      <c r="W10" s="24"/>
      <c r="X10" s="45" t="str">
        <f ca="1" t="shared" si="3"/>
        <v/>
      </c>
      <c r="Y10" s="23" t="s">
        <v>103</v>
      </c>
      <c r="Z10" s="46" t="str">
        <f>IFERROR(INDEX(Aarón!$P:$P,MATCH($C10,Aarón!$A:$A,0))&amp;"",IFERROR(INDEX(Rubit!$P:$P,MATCH($C10,Rubit!$A:$A,0))&amp;"",IFERROR(INDEX(Luis!$P:$P,MATCH($C10,Luis!$A:$A,0))&amp;"","")))</f>
        <v/>
      </c>
      <c r="AA10" s="43" t="str">
        <f>IFERROR(INDEX(Aarón!$Q:$Q,MATCH($C10,Aarón!$A:$A,0))&amp;"",IFERROR(INDEX(Rubit!$Q:$Q,MATCH($C10,Rubit!$A:$A,0))&amp;"",IFERROR(INDEX(Luis!$Q:$Q,MATCH($C10,Luis!$A:$A,0))&amp;"","")))</f>
        <v/>
      </c>
      <c r="AB10" s="43" t="str">
        <f>IFERROR(INDEX('Juan Carlos'!$Q:$Q,MATCH($C10,'Juan Carlos'!$A:$A,0))&amp;"","")</f>
        <v/>
      </c>
    </row>
    <row r="11" ht="30" customHeight="1" spans="1:28">
      <c r="A11" s="40"/>
      <c r="B11" s="41" t="s">
        <v>104</v>
      </c>
      <c r="C11" s="42" t="s">
        <v>105</v>
      </c>
      <c r="D11" s="42"/>
      <c r="E11" s="42" t="s">
        <v>60</v>
      </c>
      <c r="F11" s="42" t="s">
        <v>61</v>
      </c>
      <c r="G11" s="42" t="s">
        <v>62</v>
      </c>
      <c r="H11" s="42" t="s">
        <v>74</v>
      </c>
      <c r="I11" s="42" t="s">
        <v>64</v>
      </c>
      <c r="J11" s="43" t="str">
        <f>IFERROR(INDEX('Juan Carlos'!$P:$P,MATCH($C11,'Juan Carlos'!$A:$A,0))&amp;"","")</f>
        <v>Diseño finalizado</v>
      </c>
      <c r="K11" s="20" t="str">
        <f t="shared" si="0"/>
        <v>A</v>
      </c>
      <c r="L11" s="43" t="str">
        <f ca="1" t="shared" si="1"/>
        <v>CONGELAR HOY</v>
      </c>
      <c r="M11" s="42" t="s">
        <v>65</v>
      </c>
      <c r="N11" s="42" t="s">
        <v>65</v>
      </c>
      <c r="O11" s="42" t="s">
        <v>65</v>
      </c>
      <c r="P11" s="42" t="s">
        <v>75</v>
      </c>
      <c r="Q11" s="42" t="s">
        <v>101</v>
      </c>
      <c r="R11" s="42"/>
      <c r="S11" s="42"/>
      <c r="T11" s="42"/>
      <c r="U11" s="44" t="str">
        <f t="shared" si="2"/>
        <v/>
      </c>
      <c r="V11" s="23" t="s">
        <v>106</v>
      </c>
      <c r="W11" s="24">
        <v>46200</v>
      </c>
      <c r="X11" s="45">
        <f ca="1" t="shared" si="3"/>
        <v>37</v>
      </c>
      <c r="Y11" s="23" t="s">
        <v>107</v>
      </c>
      <c r="Z11" s="46" t="str">
        <f>IFERROR(INDEX(Aarón!$P:$P,MATCH($C11,Aarón!$A:$A,0))&amp;"",IFERROR(INDEX(Rubit!$P:$P,MATCH($C11,Rubit!$A:$A,0))&amp;"",IFERROR(INDEX(Luis!$P:$P,MATCH($C11,Luis!$A:$A,0))&amp;"","")))</f>
        <v/>
      </c>
      <c r="AA11" s="43" t="str">
        <f>IFERROR(INDEX(Aarón!$Q:$Q,MATCH($C11,Aarón!$A:$A,0))&amp;"",IFERROR(INDEX(Rubit!$Q:$Q,MATCH($C11,Rubit!$A:$A,0))&amp;"",IFERROR(INDEX(Luis!$Q:$Q,MATCH($C11,Luis!$A:$A,0))&amp;"","")))</f>
        <v/>
      </c>
      <c r="AB11" s="43" t="str">
        <f>IFERROR(INDEX('Juan Carlos'!$Q:$Q,MATCH($C11,'Juan Carlos'!$A:$A,0))&amp;"","")</f>
        <v/>
      </c>
    </row>
    <row r="12" ht="30" customHeight="1" spans="1:28">
      <c r="A12" s="40"/>
      <c r="B12" s="41" t="s">
        <v>108</v>
      </c>
      <c r="C12" s="42" t="s">
        <v>109</v>
      </c>
      <c r="D12" s="42"/>
      <c r="E12" s="42" t="s">
        <v>60</v>
      </c>
      <c r="F12" s="42" t="s">
        <v>61</v>
      </c>
      <c r="G12" s="42" t="s">
        <v>92</v>
      </c>
      <c r="H12" s="42" t="s">
        <v>110</v>
      </c>
      <c r="I12" s="42" t="s">
        <v>64</v>
      </c>
      <c r="J12" s="43" t="str">
        <f>IFERROR(INDEX('Juan Carlos'!$P:$P,MATCH($C12,'Juan Carlos'!$A:$A,0))&amp;"","")</f>
        <v/>
      </c>
      <c r="K12" s="20" t="str">
        <f t="shared" si="0"/>
        <v>A</v>
      </c>
      <c r="L12" s="43" t="str">
        <f ca="1" t="shared" si="1"/>
        <v>Congelado — mensaje cada 15 días</v>
      </c>
      <c r="M12" s="42" t="s">
        <v>65</v>
      </c>
      <c r="N12" s="42" t="s">
        <v>65</v>
      </c>
      <c r="O12" s="42" t="s">
        <v>65</v>
      </c>
      <c r="P12" s="42" t="s">
        <v>75</v>
      </c>
      <c r="Q12" s="42" t="s">
        <v>101</v>
      </c>
      <c r="R12" s="42"/>
      <c r="S12" s="42"/>
      <c r="T12" s="42"/>
      <c r="U12" s="44" t="str">
        <f t="shared" si="2"/>
        <v/>
      </c>
      <c r="V12" s="23" t="s">
        <v>111</v>
      </c>
      <c r="W12" s="24">
        <v>46216</v>
      </c>
      <c r="X12" s="45">
        <f ca="1" t="shared" si="3"/>
        <v>21</v>
      </c>
      <c r="Y12" s="23" t="s">
        <v>112</v>
      </c>
      <c r="Z12" s="46" t="str">
        <f>IFERROR(INDEX(Aarón!$P:$P,MATCH($C12,Aarón!$A:$A,0))&amp;"",IFERROR(INDEX(Rubit!$P:$P,MATCH($C12,Rubit!$A:$A,0))&amp;"",IFERROR(INDEX(Luis!$P:$P,MATCH($C12,Luis!$A:$A,0))&amp;"","")))</f>
        <v/>
      </c>
      <c r="AA12" s="43" t="str">
        <f>IFERROR(INDEX(Aarón!$Q:$Q,MATCH($C12,Aarón!$A:$A,0))&amp;"",IFERROR(INDEX(Rubit!$Q:$Q,MATCH($C12,Rubit!$A:$A,0))&amp;"",IFERROR(INDEX(Luis!$Q:$Q,MATCH($C12,Luis!$A:$A,0))&amp;"","")))</f>
        <v/>
      </c>
      <c r="AB12" s="43" t="str">
        <f>IFERROR(INDEX('Juan Carlos'!$Q:$Q,MATCH($C12,'Juan Carlos'!$A:$A,0))&amp;"","")</f>
        <v/>
      </c>
    </row>
    <row r="13" ht="30" customHeight="1" spans="1:28">
      <c r="A13" s="40">
        <v>9</v>
      </c>
      <c r="B13" s="41" t="s">
        <v>113</v>
      </c>
      <c r="C13" s="42" t="s">
        <v>114</v>
      </c>
      <c r="D13" s="42"/>
      <c r="E13" s="42" t="s">
        <v>73</v>
      </c>
      <c r="F13" s="42" t="s">
        <v>61</v>
      </c>
      <c r="G13" s="42" t="s">
        <v>86</v>
      </c>
      <c r="H13" s="42" t="s">
        <v>115</v>
      </c>
      <c r="I13" s="42" t="s">
        <v>64</v>
      </c>
      <c r="J13" s="43" t="str">
        <f>IFERROR(INDEX('Juan Carlos'!$P:$P,MATCH($C13,'Juan Carlos'!$A:$A,0))&amp;"","")</f>
        <v/>
      </c>
      <c r="K13" s="20" t="str">
        <f t="shared" si="0"/>
        <v>B</v>
      </c>
      <c r="L13" s="43" t="str">
        <f ca="1" t="shared" si="1"/>
        <v>CONGELAR HOY</v>
      </c>
      <c r="M13" s="42" t="s">
        <v>65</v>
      </c>
      <c r="N13" s="42" t="s">
        <v>76</v>
      </c>
      <c r="O13" s="42" t="s">
        <v>76</v>
      </c>
      <c r="P13" s="42" t="s">
        <v>67</v>
      </c>
      <c r="Q13" s="42" t="s">
        <v>76</v>
      </c>
      <c r="R13" s="42"/>
      <c r="S13" s="42"/>
      <c r="T13" s="42"/>
      <c r="U13" s="44" t="str">
        <f t="shared" si="2"/>
        <v/>
      </c>
      <c r="V13" s="23" t="s">
        <v>116</v>
      </c>
      <c r="W13" s="24">
        <v>46210</v>
      </c>
      <c r="X13" s="45">
        <f ca="1" t="shared" si="3"/>
        <v>27</v>
      </c>
      <c r="Y13" s="23" t="s">
        <v>117</v>
      </c>
      <c r="Z13" s="46" t="str">
        <f>IFERROR(INDEX(Aarón!$P:$P,MATCH($C13,Aarón!$A:$A,0))&amp;"",IFERROR(INDEX(Rubit!$P:$P,MATCH($C13,Rubit!$A:$A,0))&amp;"",IFERROR(INDEX(Luis!$P:$P,MATCH($C13,Luis!$A:$A,0))&amp;"","")))</f>
        <v/>
      </c>
      <c r="AA13" s="43" t="str">
        <f>IFERROR(INDEX(Aarón!$Q:$Q,MATCH($C13,Aarón!$A:$A,0))&amp;"",IFERROR(INDEX(Rubit!$Q:$Q,MATCH($C13,Rubit!$A:$A,0))&amp;"",IFERROR(INDEX(Luis!$Q:$Q,MATCH($C13,Luis!$A:$A,0))&amp;"","")))</f>
        <v/>
      </c>
      <c r="AB13" s="43" t="str">
        <f>IFERROR(INDEX('Juan Carlos'!$Q:$Q,MATCH($C13,'Juan Carlos'!$A:$A,0))&amp;"","")</f>
        <v/>
      </c>
    </row>
    <row r="14" ht="30" customHeight="1" spans="1:28">
      <c r="A14" s="40"/>
      <c r="B14" s="41" t="s">
        <v>118</v>
      </c>
      <c r="C14" s="42" t="s">
        <v>119</v>
      </c>
      <c r="D14" s="42"/>
      <c r="E14" s="42" t="s">
        <v>73</v>
      </c>
      <c r="F14" s="42" t="s">
        <v>61</v>
      </c>
      <c r="G14" s="42" t="s">
        <v>77</v>
      </c>
      <c r="H14" s="42" t="s">
        <v>74</v>
      </c>
      <c r="I14" s="42" t="s">
        <v>64</v>
      </c>
      <c r="J14" s="43" t="str">
        <f>IFERROR(INDEX('Juan Carlos'!$P:$P,MATCH($C14,'Juan Carlos'!$A:$A,0))&amp;"","")</f>
        <v>Diseño finalizado</v>
      </c>
      <c r="K14" s="20" t="str">
        <f t="shared" si="0"/>
        <v>A</v>
      </c>
      <c r="L14" s="43" t="str">
        <f ca="1" t="shared" si="1"/>
        <v>CONGELAR HOY</v>
      </c>
      <c r="M14" s="42" t="s">
        <v>65</v>
      </c>
      <c r="N14" s="42" t="s">
        <v>66</v>
      </c>
      <c r="O14" s="42" t="s">
        <v>66</v>
      </c>
      <c r="P14" s="42" t="s">
        <v>75</v>
      </c>
      <c r="Q14" s="42" t="s">
        <v>76</v>
      </c>
      <c r="R14" s="42"/>
      <c r="S14" s="42"/>
      <c r="T14" s="42"/>
      <c r="U14" s="44" t="str">
        <f t="shared" si="2"/>
        <v/>
      </c>
      <c r="V14" s="23" t="s">
        <v>120</v>
      </c>
      <c r="W14" s="24">
        <v>46212</v>
      </c>
      <c r="X14" s="45">
        <f ca="1" t="shared" si="3"/>
        <v>25</v>
      </c>
      <c r="Y14" s="23" t="s">
        <v>121</v>
      </c>
      <c r="Z14" s="46" t="str">
        <f>IFERROR(INDEX(Aarón!$P:$P,MATCH($C14,Aarón!$A:$A,0))&amp;"",IFERROR(INDEX(Rubit!$P:$P,MATCH($C14,Rubit!$A:$A,0))&amp;"",IFERROR(INDEX(Luis!$P:$P,MATCH($C14,Luis!$A:$A,0))&amp;"","")))</f>
        <v/>
      </c>
      <c r="AA14" s="43" t="str">
        <f>IFERROR(INDEX(Aarón!$Q:$Q,MATCH($C14,Aarón!$A:$A,0))&amp;"",IFERROR(INDEX(Rubit!$Q:$Q,MATCH($C14,Rubit!$A:$A,0))&amp;"",IFERROR(INDEX(Luis!$Q:$Q,MATCH($C14,Luis!$A:$A,0))&amp;"","")))</f>
        <v/>
      </c>
      <c r="AB14" s="43" t="str">
        <f>IFERROR(INDEX('Juan Carlos'!$Q:$Q,MATCH($C14,'Juan Carlos'!$A:$A,0))&amp;"","")</f>
        <v/>
      </c>
    </row>
    <row r="15" ht="30" customHeight="1" spans="1:28">
      <c r="A15" s="40"/>
      <c r="B15" s="41" t="s">
        <v>122</v>
      </c>
      <c r="C15" s="42" t="s">
        <v>123</v>
      </c>
      <c r="D15" s="42"/>
      <c r="E15" s="42" t="s">
        <v>73</v>
      </c>
      <c r="F15" s="42" t="s">
        <v>124</v>
      </c>
      <c r="G15" s="42" t="s">
        <v>62</v>
      </c>
      <c r="H15" s="42" t="s">
        <v>110</v>
      </c>
      <c r="I15" s="42" t="s">
        <v>64</v>
      </c>
      <c r="J15" s="43" t="str">
        <f>IFERROR(INDEX('Juan Carlos'!$P:$P,MATCH($C15,'Juan Carlos'!$A:$A,0))&amp;"","")</f>
        <v/>
      </c>
      <c r="K15" s="20" t="str">
        <f t="shared" si="0"/>
        <v>A</v>
      </c>
      <c r="L15" s="43" t="str">
        <f ca="1" t="shared" si="1"/>
        <v>CONGELAR HOY</v>
      </c>
      <c r="M15" s="42" t="s">
        <v>65</v>
      </c>
      <c r="N15" s="42" t="s">
        <v>65</v>
      </c>
      <c r="O15" s="42" t="s">
        <v>65</v>
      </c>
      <c r="P15" s="42" t="s">
        <v>75</v>
      </c>
      <c r="Q15" s="42" t="s">
        <v>76</v>
      </c>
      <c r="R15" s="42"/>
      <c r="S15" s="42"/>
      <c r="T15" s="42"/>
      <c r="U15" s="44" t="str">
        <f t="shared" si="2"/>
        <v/>
      </c>
      <c r="V15" s="23" t="s">
        <v>125</v>
      </c>
      <c r="W15" s="24">
        <v>46219</v>
      </c>
      <c r="X15" s="45">
        <f ca="1" t="shared" si="3"/>
        <v>18</v>
      </c>
      <c r="Y15" s="23" t="s">
        <v>126</v>
      </c>
      <c r="Z15" s="46" t="str">
        <f>IFERROR(INDEX(Aarón!$P:$P,MATCH($C15,Aarón!$A:$A,0))&amp;"",IFERROR(INDEX(Rubit!$P:$P,MATCH($C15,Rubit!$A:$A,0))&amp;"",IFERROR(INDEX(Luis!$P:$P,MATCH($C15,Luis!$A:$A,0))&amp;"","")))</f>
        <v/>
      </c>
      <c r="AA15" s="43" t="str">
        <f>IFERROR(INDEX(Aarón!$Q:$Q,MATCH($C15,Aarón!$A:$A,0))&amp;"",IFERROR(INDEX(Rubit!$Q:$Q,MATCH($C15,Rubit!$A:$A,0))&amp;"",IFERROR(INDEX(Luis!$Q:$Q,MATCH($C15,Luis!$A:$A,0))&amp;"","")))</f>
        <v/>
      </c>
      <c r="AB15" s="43" t="str">
        <f>IFERROR(INDEX('Juan Carlos'!$Q:$Q,MATCH($C15,'Juan Carlos'!$A:$A,0))&amp;"","")</f>
        <v/>
      </c>
    </row>
    <row r="16" ht="30" customHeight="1" spans="1:28">
      <c r="A16" s="40"/>
      <c r="B16" s="41" t="s">
        <v>127</v>
      </c>
      <c r="C16" s="42" t="s">
        <v>128</v>
      </c>
      <c r="D16" s="42"/>
      <c r="E16" s="42" t="s">
        <v>60</v>
      </c>
      <c r="F16" s="42" t="s">
        <v>61</v>
      </c>
      <c r="G16" s="42" t="s">
        <v>129</v>
      </c>
      <c r="H16" s="42" t="s">
        <v>110</v>
      </c>
      <c r="I16" s="42" t="s">
        <v>64</v>
      </c>
      <c r="J16" s="43" t="str">
        <f>IFERROR(INDEX('Juan Carlos'!$P:$P,MATCH($C16,'Juan Carlos'!$A:$A,0))&amp;"","")</f>
        <v/>
      </c>
      <c r="K16" s="20" t="str">
        <f t="shared" si="0"/>
        <v>B</v>
      </c>
      <c r="L16" s="43" t="str">
        <f ca="1" t="shared" si="1"/>
        <v>CONGELAR HOY</v>
      </c>
      <c r="M16" s="42" t="s">
        <v>65</v>
      </c>
      <c r="N16" s="42" t="s">
        <v>65</v>
      </c>
      <c r="O16" s="42" t="s">
        <v>76</v>
      </c>
      <c r="P16" s="42" t="s">
        <v>67</v>
      </c>
      <c r="Q16" s="42" t="s">
        <v>76</v>
      </c>
      <c r="R16" s="42">
        <v>100</v>
      </c>
      <c r="S16" s="42"/>
      <c r="T16" s="42"/>
      <c r="U16" s="44">
        <f t="shared" si="2"/>
        <v>0</v>
      </c>
      <c r="V16" s="23" t="s">
        <v>130</v>
      </c>
      <c r="W16" s="24">
        <v>46212</v>
      </c>
      <c r="X16" s="45">
        <f ca="1" t="shared" si="3"/>
        <v>25</v>
      </c>
      <c r="Y16" s="23" t="s">
        <v>131</v>
      </c>
      <c r="Z16" s="46" t="str">
        <f>IFERROR(INDEX(Aarón!$P:$P,MATCH($C16,Aarón!$A:$A,0))&amp;"",IFERROR(INDEX(Rubit!$P:$P,MATCH($C16,Rubit!$A:$A,0))&amp;"",IFERROR(INDEX(Luis!$P:$P,MATCH($C16,Luis!$A:$A,0))&amp;"","")))</f>
        <v/>
      </c>
      <c r="AA16" s="43" t="str">
        <f>IFERROR(INDEX(Aarón!$Q:$Q,MATCH($C16,Aarón!$A:$A,0))&amp;"",IFERROR(INDEX(Rubit!$Q:$Q,MATCH($C16,Rubit!$A:$A,0))&amp;"",IFERROR(INDEX(Luis!$Q:$Q,MATCH($C16,Luis!$A:$A,0))&amp;"","")))</f>
        <v/>
      </c>
      <c r="AB16" s="43" t="str">
        <f>IFERROR(INDEX('Juan Carlos'!$Q:$Q,MATCH($C16,'Juan Carlos'!$A:$A,0))&amp;"","")</f>
        <v/>
      </c>
    </row>
    <row r="17" ht="30" customHeight="1" spans="1:28">
      <c r="A17" s="40"/>
      <c r="B17" s="41" t="s">
        <v>132</v>
      </c>
      <c r="C17" s="42" t="s">
        <v>133</v>
      </c>
      <c r="D17" s="42"/>
      <c r="E17" s="42" t="s">
        <v>73</v>
      </c>
      <c r="F17" s="42" t="s">
        <v>61</v>
      </c>
      <c r="G17" s="42" t="s">
        <v>62</v>
      </c>
      <c r="H17" s="42" t="s">
        <v>115</v>
      </c>
      <c r="I17" s="42" t="s">
        <v>64</v>
      </c>
      <c r="J17" s="43" t="str">
        <f>IFERROR(INDEX('Juan Carlos'!$P:$P,MATCH($C17,'Juan Carlos'!$A:$A,0))&amp;"","")</f>
        <v/>
      </c>
      <c r="K17" s="20" t="str">
        <f t="shared" si="0"/>
        <v>A</v>
      </c>
      <c r="L17" s="43" t="str">
        <f ca="1" t="shared" si="1"/>
        <v>CONGELAR HOY</v>
      </c>
      <c r="M17" s="42" t="s">
        <v>65</v>
      </c>
      <c r="N17" s="42" t="s">
        <v>65</v>
      </c>
      <c r="O17" s="42" t="s">
        <v>65</v>
      </c>
      <c r="P17" s="42" t="s">
        <v>75</v>
      </c>
      <c r="Q17" s="42" t="s">
        <v>76</v>
      </c>
      <c r="R17" s="42"/>
      <c r="S17" s="42"/>
      <c r="T17" s="42"/>
      <c r="U17" s="44" t="str">
        <f t="shared" si="2"/>
        <v/>
      </c>
      <c r="V17" s="23" t="s">
        <v>134</v>
      </c>
      <c r="W17" s="24">
        <v>46218</v>
      </c>
      <c r="X17" s="45">
        <f ca="1" t="shared" si="3"/>
        <v>19</v>
      </c>
      <c r="Y17" s="23" t="s">
        <v>135</v>
      </c>
      <c r="Z17" s="46" t="str">
        <f>IFERROR(INDEX(Aarón!$P:$P,MATCH($C17,Aarón!$A:$A,0))&amp;"",IFERROR(INDEX(Rubit!$P:$P,MATCH($C17,Rubit!$A:$A,0))&amp;"",IFERROR(INDEX(Luis!$P:$P,MATCH($C17,Luis!$A:$A,0))&amp;"","")))</f>
        <v/>
      </c>
      <c r="AA17" s="43" t="str">
        <f>IFERROR(INDEX(Aarón!$Q:$Q,MATCH($C17,Aarón!$A:$A,0))&amp;"",IFERROR(INDEX(Rubit!$Q:$Q,MATCH($C17,Rubit!$A:$A,0))&amp;"",IFERROR(INDEX(Luis!$Q:$Q,MATCH($C17,Luis!$A:$A,0))&amp;"","")))</f>
        <v/>
      </c>
      <c r="AB17" s="43" t="str">
        <f>IFERROR(INDEX('Juan Carlos'!$Q:$Q,MATCH($C17,'Juan Carlos'!$A:$A,0))&amp;"","")</f>
        <v/>
      </c>
    </row>
    <row r="18" ht="30" customHeight="1" spans="1:28">
      <c r="A18" s="40"/>
      <c r="B18" s="41" t="s">
        <v>136</v>
      </c>
      <c r="C18" s="42" t="s">
        <v>137</v>
      </c>
      <c r="D18" s="42"/>
      <c r="E18" s="42" t="s">
        <v>73</v>
      </c>
      <c r="F18" s="42" t="s">
        <v>61</v>
      </c>
      <c r="G18" s="42" t="s">
        <v>129</v>
      </c>
      <c r="H18" s="42" t="s">
        <v>63</v>
      </c>
      <c r="I18" s="42" t="s">
        <v>64</v>
      </c>
      <c r="J18" s="43" t="str">
        <f>IFERROR(INDEX('Juan Carlos'!$P:$P,MATCH($C18,'Juan Carlos'!$A:$A,0))&amp;"","")</f>
        <v/>
      </c>
      <c r="K18" s="20" t="str">
        <f t="shared" si="0"/>
        <v>B</v>
      </c>
      <c r="L18" s="43" t="str">
        <f ca="1" t="shared" si="1"/>
        <v>CONGELAR HOY</v>
      </c>
      <c r="M18" s="42" t="s">
        <v>65</v>
      </c>
      <c r="N18" s="42" t="s">
        <v>76</v>
      </c>
      <c r="O18" s="42" t="s">
        <v>76</v>
      </c>
      <c r="P18" s="42" t="s">
        <v>67</v>
      </c>
      <c r="Q18" s="42" t="s">
        <v>76</v>
      </c>
      <c r="R18" s="42"/>
      <c r="S18" s="42"/>
      <c r="T18" s="42"/>
      <c r="U18" s="44" t="str">
        <f t="shared" si="2"/>
        <v/>
      </c>
      <c r="V18" s="23" t="s">
        <v>138</v>
      </c>
      <c r="W18" s="24">
        <v>46218</v>
      </c>
      <c r="X18" s="45">
        <f ca="1" t="shared" si="3"/>
        <v>19</v>
      </c>
      <c r="Y18" s="23" t="s">
        <v>139</v>
      </c>
      <c r="Z18" s="46" t="str">
        <f>IFERROR(INDEX(Aarón!$P:$P,MATCH($C18,Aarón!$A:$A,0))&amp;"",IFERROR(INDEX(Rubit!$P:$P,MATCH($C18,Rubit!$A:$A,0))&amp;"",IFERROR(INDEX(Luis!$P:$P,MATCH($C18,Luis!$A:$A,0))&amp;"","")))</f>
        <v/>
      </c>
      <c r="AA18" s="43" t="str">
        <f>IFERROR(INDEX(Aarón!$Q:$Q,MATCH($C18,Aarón!$A:$A,0))&amp;"",IFERROR(INDEX(Rubit!$Q:$Q,MATCH($C18,Rubit!$A:$A,0))&amp;"",IFERROR(INDEX(Luis!$Q:$Q,MATCH($C18,Luis!$A:$A,0))&amp;"","")))</f>
        <v/>
      </c>
      <c r="AB18" s="43" t="str">
        <f>IFERROR(INDEX('Juan Carlos'!$Q:$Q,MATCH($C18,'Juan Carlos'!$A:$A,0))&amp;"","")</f>
        <v/>
      </c>
    </row>
    <row r="19" ht="30" customHeight="1" spans="1:28">
      <c r="A19" s="40"/>
      <c r="B19" s="41" t="s">
        <v>140</v>
      </c>
      <c r="C19" s="42" t="s">
        <v>141</v>
      </c>
      <c r="D19" s="42"/>
      <c r="E19" s="42" t="s">
        <v>60</v>
      </c>
      <c r="F19" s="42" t="s">
        <v>61</v>
      </c>
      <c r="G19" s="42" t="s">
        <v>77</v>
      </c>
      <c r="H19" s="42" t="s">
        <v>74</v>
      </c>
      <c r="I19" s="42" t="s">
        <v>64</v>
      </c>
      <c r="J19" s="43" t="str">
        <f>IFERROR(INDEX('Juan Carlos'!$P:$P,MATCH($C19,'Juan Carlos'!$A:$A,0))&amp;"","")</f>
        <v>Diseño finalizado</v>
      </c>
      <c r="K19" s="20" t="str">
        <f t="shared" si="0"/>
        <v>A</v>
      </c>
      <c r="L19" s="43" t="str">
        <f ca="1" t="shared" si="1"/>
        <v>CONGELAR HOY</v>
      </c>
      <c r="M19" s="42" t="s">
        <v>65</v>
      </c>
      <c r="N19" s="42" t="s">
        <v>65</v>
      </c>
      <c r="O19" s="42" t="s">
        <v>65</v>
      </c>
      <c r="P19" s="42" t="s">
        <v>75</v>
      </c>
      <c r="Q19" s="42" t="s">
        <v>76</v>
      </c>
      <c r="R19" s="42">
        <v>0</v>
      </c>
      <c r="S19" s="42" t="s">
        <v>142</v>
      </c>
      <c r="T19" s="42">
        <v>0</v>
      </c>
      <c r="U19" s="44" t="str">
        <f t="shared" si="2"/>
        <v/>
      </c>
      <c r="V19" s="23" t="s">
        <v>143</v>
      </c>
      <c r="W19" s="24">
        <v>46218</v>
      </c>
      <c r="X19" s="45">
        <f ca="1" t="shared" si="3"/>
        <v>19</v>
      </c>
      <c r="Y19" s="23" t="s">
        <v>144</v>
      </c>
      <c r="Z19" s="46" t="str">
        <f>IFERROR(INDEX(Aarón!$P:$P,MATCH($C19,Aarón!$A:$A,0))&amp;"",IFERROR(INDEX(Rubit!$P:$P,MATCH($C19,Rubit!$A:$A,0))&amp;"",IFERROR(INDEX(Luis!$P:$P,MATCH($C19,Luis!$A:$A,0))&amp;"","")))</f>
        <v/>
      </c>
      <c r="AA19" s="43" t="str">
        <f>IFERROR(INDEX(Aarón!$Q:$Q,MATCH($C19,Aarón!$A:$A,0))&amp;"",IFERROR(INDEX(Rubit!$Q:$Q,MATCH($C19,Rubit!$A:$A,0))&amp;"",IFERROR(INDEX(Luis!$Q:$Q,MATCH($C19,Luis!$A:$A,0))&amp;"","")))</f>
        <v/>
      </c>
      <c r="AB19" s="43" t="str">
        <f>IFERROR(INDEX('Juan Carlos'!$Q:$Q,MATCH($C19,'Juan Carlos'!$A:$A,0))&amp;"","")</f>
        <v/>
      </c>
    </row>
    <row r="20" ht="30" customHeight="1" spans="1:28">
      <c r="A20" s="40"/>
      <c r="B20" s="41" t="s">
        <v>145</v>
      </c>
      <c r="C20" s="42" t="s">
        <v>146</v>
      </c>
      <c r="D20" s="42"/>
      <c r="E20" s="42" t="s">
        <v>60</v>
      </c>
      <c r="F20" s="42" t="s">
        <v>61</v>
      </c>
      <c r="G20" s="42" t="s">
        <v>129</v>
      </c>
      <c r="H20" s="42" t="s">
        <v>115</v>
      </c>
      <c r="I20" s="42" t="s">
        <v>64</v>
      </c>
      <c r="J20" s="43" t="str">
        <f>IFERROR(INDEX('Juan Carlos'!$P:$P,MATCH($C20,'Juan Carlos'!$A:$A,0))&amp;"","")</f>
        <v/>
      </c>
      <c r="K20" s="20" t="str">
        <f t="shared" si="0"/>
        <v>B</v>
      </c>
      <c r="L20" s="43" t="str">
        <f ca="1" t="shared" si="1"/>
        <v>CONGELAR HOY</v>
      </c>
      <c r="M20" s="42" t="s">
        <v>65</v>
      </c>
      <c r="N20" s="42" t="s">
        <v>76</v>
      </c>
      <c r="O20" s="42" t="s">
        <v>76</v>
      </c>
      <c r="P20" s="42" t="s">
        <v>67</v>
      </c>
      <c r="Q20" s="42" t="s">
        <v>76</v>
      </c>
      <c r="R20" s="42"/>
      <c r="S20" s="42"/>
      <c r="T20" s="42"/>
      <c r="U20" s="44" t="str">
        <f t="shared" si="2"/>
        <v/>
      </c>
      <c r="V20" s="23" t="s">
        <v>147</v>
      </c>
      <c r="W20" s="24">
        <v>46218</v>
      </c>
      <c r="X20" s="45">
        <f ca="1" t="shared" si="3"/>
        <v>19</v>
      </c>
      <c r="Y20" s="23" t="s">
        <v>148</v>
      </c>
      <c r="Z20" s="46" t="str">
        <f>IFERROR(INDEX(Aarón!$P:$P,MATCH($C20,Aarón!$A:$A,0))&amp;"",IFERROR(INDEX(Rubit!$P:$P,MATCH($C20,Rubit!$A:$A,0))&amp;"",IFERROR(INDEX(Luis!$P:$P,MATCH($C20,Luis!$A:$A,0))&amp;"","")))</f>
        <v/>
      </c>
      <c r="AA20" s="43" t="str">
        <f>IFERROR(INDEX(Aarón!$Q:$Q,MATCH($C20,Aarón!$A:$A,0))&amp;"",IFERROR(INDEX(Rubit!$Q:$Q,MATCH($C20,Rubit!$A:$A,0))&amp;"",IFERROR(INDEX(Luis!$Q:$Q,MATCH($C20,Luis!$A:$A,0))&amp;"","")))</f>
        <v/>
      </c>
      <c r="AB20" s="43" t="str">
        <f>IFERROR(INDEX('Juan Carlos'!$Q:$Q,MATCH($C20,'Juan Carlos'!$A:$A,0))&amp;"","")</f>
        <v/>
      </c>
    </row>
    <row r="21" ht="30" customHeight="1" spans="1:28">
      <c r="A21" s="40">
        <v>1</v>
      </c>
      <c r="B21" s="41" t="s">
        <v>149</v>
      </c>
      <c r="C21" s="42" t="s">
        <v>150</v>
      </c>
      <c r="D21" s="42"/>
      <c r="E21" s="42" t="s">
        <v>60</v>
      </c>
      <c r="F21" s="42" t="s">
        <v>61</v>
      </c>
      <c r="G21" s="42" t="s">
        <v>151</v>
      </c>
      <c r="H21" s="42" t="s">
        <v>115</v>
      </c>
      <c r="I21" s="42" t="s">
        <v>64</v>
      </c>
      <c r="J21" s="43" t="str">
        <f>IFERROR(INDEX('Juan Carlos'!$P:$P,MATCH($C21,'Juan Carlos'!$A:$A,0))&amp;"","")</f>
        <v>Diseño finalizado</v>
      </c>
      <c r="K21" s="20" t="str">
        <f t="shared" si="0"/>
        <v>A</v>
      </c>
      <c r="L21" s="43" t="str">
        <f ca="1" t="shared" si="1"/>
        <v>CONGELAR HOY</v>
      </c>
      <c r="M21" s="42" t="s">
        <v>65</v>
      </c>
      <c r="N21" s="42" t="s">
        <v>66</v>
      </c>
      <c r="O21" s="42" t="s">
        <v>66</v>
      </c>
      <c r="P21" s="42" t="s">
        <v>75</v>
      </c>
      <c r="Q21" s="42" t="s">
        <v>81</v>
      </c>
      <c r="R21" s="42"/>
      <c r="S21" s="42"/>
      <c r="T21" s="42"/>
      <c r="U21" s="44" t="str">
        <f t="shared" si="2"/>
        <v/>
      </c>
      <c r="V21" s="23" t="s">
        <v>152</v>
      </c>
      <c r="W21" s="24">
        <v>46218</v>
      </c>
      <c r="X21" s="45">
        <f ca="1" t="shared" si="3"/>
        <v>19</v>
      </c>
      <c r="Y21" s="23" t="s">
        <v>153</v>
      </c>
      <c r="Z21" s="46" t="str">
        <f>IFERROR(INDEX(Aarón!$P:$P,MATCH($C21,Aarón!$A:$A,0))&amp;"",IFERROR(INDEX(Rubit!$P:$P,MATCH($C21,Rubit!$A:$A,0))&amp;"",IFERROR(INDEX(Luis!$P:$P,MATCH($C21,Luis!$A:$A,0))&amp;"","")))</f>
        <v/>
      </c>
      <c r="AA21" s="43" t="str">
        <f>IFERROR(INDEX(Aarón!$Q:$Q,MATCH($C21,Aarón!$A:$A,0))&amp;"",IFERROR(INDEX(Rubit!$Q:$Q,MATCH($C21,Rubit!$A:$A,0))&amp;"",IFERROR(INDEX(Luis!$Q:$Q,MATCH($C21,Luis!$A:$A,0))&amp;"","")))</f>
        <v/>
      </c>
      <c r="AB21" s="43" t="str">
        <f>IFERROR(INDEX('Juan Carlos'!$Q:$Q,MATCH($C21,'Juan Carlos'!$A:$A,0))&amp;"","")</f>
        <v/>
      </c>
    </row>
    <row r="22" ht="30" customHeight="1" spans="1:28">
      <c r="A22" s="40"/>
      <c r="B22" s="41" t="s">
        <v>154</v>
      </c>
      <c r="C22" s="42" t="s">
        <v>155</v>
      </c>
      <c r="D22" s="42"/>
      <c r="E22" s="42" t="s">
        <v>73</v>
      </c>
      <c r="F22" s="42" t="s">
        <v>61</v>
      </c>
      <c r="G22" s="42" t="s">
        <v>77</v>
      </c>
      <c r="H22" s="42" t="s">
        <v>115</v>
      </c>
      <c r="I22" s="42" t="s">
        <v>64</v>
      </c>
      <c r="J22" s="43" t="str">
        <f>IFERROR(INDEX('Juan Carlos'!$P:$P,MATCH($C22,'Juan Carlos'!$A:$A,0))&amp;"","")</f>
        <v>Diseño finalizado</v>
      </c>
      <c r="K22" s="20" t="str">
        <f t="shared" si="0"/>
        <v>A</v>
      </c>
      <c r="L22" s="43" t="str">
        <f ca="1" t="shared" si="1"/>
        <v>CONGELAR HOY</v>
      </c>
      <c r="M22" s="42" t="s">
        <v>65</v>
      </c>
      <c r="N22" s="42" t="s">
        <v>65</v>
      </c>
      <c r="O22" s="42" t="s">
        <v>66</v>
      </c>
      <c r="P22" s="42" t="s">
        <v>75</v>
      </c>
      <c r="Q22" s="42" t="s">
        <v>76</v>
      </c>
      <c r="R22" s="42"/>
      <c r="S22" s="42"/>
      <c r="T22" s="42"/>
      <c r="U22" s="44" t="str">
        <f t="shared" si="2"/>
        <v/>
      </c>
      <c r="V22" s="23" t="s">
        <v>156</v>
      </c>
      <c r="W22" s="24">
        <v>46219</v>
      </c>
      <c r="X22" s="45">
        <f ca="1" t="shared" si="3"/>
        <v>18</v>
      </c>
      <c r="Y22" s="23" t="s">
        <v>157</v>
      </c>
      <c r="Z22" s="46" t="str">
        <f>IFERROR(INDEX(Aarón!$P:$P,MATCH($C22,Aarón!$A:$A,0))&amp;"",IFERROR(INDEX(Rubit!$P:$P,MATCH($C22,Rubit!$A:$A,0))&amp;"",IFERROR(INDEX(Luis!$P:$P,MATCH($C22,Luis!$A:$A,0))&amp;"","")))</f>
        <v/>
      </c>
      <c r="AA22" s="43" t="str">
        <f>IFERROR(INDEX(Aarón!$Q:$Q,MATCH($C22,Aarón!$A:$A,0))&amp;"",IFERROR(INDEX(Rubit!$Q:$Q,MATCH($C22,Rubit!$A:$A,0))&amp;"",IFERROR(INDEX(Luis!$Q:$Q,MATCH($C22,Luis!$A:$A,0))&amp;"","")))</f>
        <v/>
      </c>
      <c r="AB22" s="43" t="str">
        <f>IFERROR(INDEX('Juan Carlos'!$Q:$Q,MATCH($C22,'Juan Carlos'!$A:$A,0))&amp;"","")</f>
        <v/>
      </c>
    </row>
    <row r="23" ht="30" customHeight="1" spans="1:28">
      <c r="A23" s="40"/>
      <c r="B23" s="41" t="s">
        <v>158</v>
      </c>
      <c r="C23" s="42" t="s">
        <v>159</v>
      </c>
      <c r="D23" s="42"/>
      <c r="E23" s="42" t="s">
        <v>60</v>
      </c>
      <c r="F23" s="42" t="s">
        <v>61</v>
      </c>
      <c r="G23" s="42" t="s">
        <v>77</v>
      </c>
      <c r="H23" s="42" t="s">
        <v>115</v>
      </c>
      <c r="I23" s="42" t="s">
        <v>64</v>
      </c>
      <c r="J23" s="43" t="str">
        <f>IFERROR(INDEX('Juan Carlos'!$P:$P,MATCH($C23,'Juan Carlos'!$A:$A,0))&amp;"","")</f>
        <v/>
      </c>
      <c r="K23" s="20" t="str">
        <f t="shared" si="0"/>
        <v>B</v>
      </c>
      <c r="L23" s="43" t="str">
        <f ca="1" t="shared" si="1"/>
        <v>CONGELAR HOY</v>
      </c>
      <c r="M23" s="42" t="s">
        <v>65</v>
      </c>
      <c r="N23" s="42" t="s">
        <v>65</v>
      </c>
      <c r="O23" s="42" t="s">
        <v>76</v>
      </c>
      <c r="P23" s="42" t="s">
        <v>67</v>
      </c>
      <c r="Q23" s="42" t="s">
        <v>101</v>
      </c>
      <c r="R23" s="42"/>
      <c r="S23" s="42"/>
      <c r="T23" s="42"/>
      <c r="U23" s="44" t="str">
        <f t="shared" si="2"/>
        <v/>
      </c>
      <c r="V23" s="23" t="s">
        <v>160</v>
      </c>
      <c r="W23" s="24">
        <v>46218</v>
      </c>
      <c r="X23" s="45">
        <f ca="1" t="shared" si="3"/>
        <v>19</v>
      </c>
      <c r="Y23" s="23" t="s">
        <v>161</v>
      </c>
      <c r="Z23" s="46" t="str">
        <f>IFERROR(INDEX(Aarón!$P:$P,MATCH($C23,Aarón!$A:$A,0))&amp;"",IFERROR(INDEX(Rubit!$P:$P,MATCH($C23,Rubit!$A:$A,0))&amp;"",IFERROR(INDEX(Luis!$P:$P,MATCH($C23,Luis!$A:$A,0))&amp;"","")))</f>
        <v/>
      </c>
      <c r="AA23" s="43" t="str">
        <f>IFERROR(INDEX(Aarón!$Q:$Q,MATCH($C23,Aarón!$A:$A,0))&amp;"",IFERROR(INDEX(Rubit!$Q:$Q,MATCH($C23,Rubit!$A:$A,0))&amp;"",IFERROR(INDEX(Luis!$Q:$Q,MATCH($C23,Luis!$A:$A,0))&amp;"","")))</f>
        <v/>
      </c>
      <c r="AB23" s="43" t="str">
        <f>IFERROR(INDEX('Juan Carlos'!$Q:$Q,MATCH($C23,'Juan Carlos'!$A:$A,0))&amp;"","")</f>
        <v/>
      </c>
    </row>
    <row r="24" ht="30" customHeight="1" spans="1:28">
      <c r="A24" s="40"/>
      <c r="B24" s="41" t="s">
        <v>162</v>
      </c>
      <c r="C24" s="42" t="s">
        <v>163</v>
      </c>
      <c r="D24" s="42"/>
      <c r="E24" s="42" t="s">
        <v>60</v>
      </c>
      <c r="F24" s="42" t="s">
        <v>61</v>
      </c>
      <c r="G24" s="42" t="s">
        <v>86</v>
      </c>
      <c r="H24" s="42" t="s">
        <v>110</v>
      </c>
      <c r="I24" s="42" t="s">
        <v>64</v>
      </c>
      <c r="J24" s="43" t="str">
        <f>IFERROR(INDEX('Juan Carlos'!$P:$P,MATCH($C24,'Juan Carlos'!$A:$A,0))&amp;"","")</f>
        <v/>
      </c>
      <c r="K24" s="20" t="str">
        <f t="shared" si="0"/>
        <v>B</v>
      </c>
      <c r="L24" s="43" t="str">
        <f ca="1" t="shared" si="1"/>
        <v>CONGELAR HOY</v>
      </c>
      <c r="M24" s="42" t="s">
        <v>65</v>
      </c>
      <c r="N24" s="42" t="s">
        <v>76</v>
      </c>
      <c r="O24" s="42" t="s">
        <v>76</v>
      </c>
      <c r="P24" s="42" t="s">
        <v>67</v>
      </c>
      <c r="Q24" s="42" t="s">
        <v>81</v>
      </c>
      <c r="R24" s="42"/>
      <c r="S24" s="42"/>
      <c r="T24" s="42"/>
      <c r="U24" s="44" t="str">
        <f t="shared" si="2"/>
        <v/>
      </c>
      <c r="V24" s="23" t="s">
        <v>164</v>
      </c>
      <c r="W24" s="24">
        <v>46218</v>
      </c>
      <c r="X24" s="45">
        <f ca="1" t="shared" si="3"/>
        <v>19</v>
      </c>
      <c r="Y24" s="23" t="s">
        <v>165</v>
      </c>
      <c r="Z24" s="46" t="str">
        <f>IFERROR(INDEX(Aarón!$P:$P,MATCH($C24,Aarón!$A:$A,0))&amp;"",IFERROR(INDEX(Rubit!$P:$P,MATCH($C24,Rubit!$A:$A,0))&amp;"",IFERROR(INDEX(Luis!$P:$P,MATCH($C24,Luis!$A:$A,0))&amp;"","")))</f>
        <v/>
      </c>
      <c r="AA24" s="43" t="str">
        <f>IFERROR(INDEX(Aarón!$Q:$Q,MATCH($C24,Aarón!$A:$A,0))&amp;"",IFERROR(INDEX(Rubit!$Q:$Q,MATCH($C24,Rubit!$A:$A,0))&amp;"",IFERROR(INDEX(Luis!$Q:$Q,MATCH($C24,Luis!$A:$A,0))&amp;"","")))</f>
        <v/>
      </c>
      <c r="AB24" s="43" t="str">
        <f>IFERROR(INDEX('Juan Carlos'!$Q:$Q,MATCH($C24,'Juan Carlos'!$A:$A,0))&amp;"","")</f>
        <v/>
      </c>
    </row>
    <row r="25" ht="30" customHeight="1" spans="1:28">
      <c r="A25" s="40">
        <v>2</v>
      </c>
      <c r="B25" s="41" t="s">
        <v>166</v>
      </c>
      <c r="C25" s="42" t="s">
        <v>167</v>
      </c>
      <c r="D25" s="42"/>
      <c r="E25" s="42" t="s">
        <v>60</v>
      </c>
      <c r="F25" s="42" t="s">
        <v>61</v>
      </c>
      <c r="G25" s="42" t="s">
        <v>129</v>
      </c>
      <c r="H25" s="42" t="s">
        <v>74</v>
      </c>
      <c r="I25" s="42" t="s">
        <v>64</v>
      </c>
      <c r="J25" s="43" t="str">
        <f>IFERROR(INDEX('Juan Carlos'!$P:$P,MATCH($C25,'Juan Carlos'!$A:$A,0))&amp;"","")</f>
        <v>Diseño en curso</v>
      </c>
      <c r="K25" s="20" t="str">
        <f t="shared" si="0"/>
        <v>A</v>
      </c>
      <c r="L25" s="43" t="str">
        <f ca="1" t="shared" si="1"/>
        <v>CONGELAR HOY</v>
      </c>
      <c r="M25" s="42" t="s">
        <v>65</v>
      </c>
      <c r="N25" s="42" t="s">
        <v>76</v>
      </c>
      <c r="O25" s="42" t="s">
        <v>76</v>
      </c>
      <c r="P25" s="42" t="s">
        <v>75</v>
      </c>
      <c r="Q25" s="42" t="s">
        <v>81</v>
      </c>
      <c r="R25" s="42"/>
      <c r="S25" s="42"/>
      <c r="T25" s="42"/>
      <c r="U25" s="44" t="str">
        <f t="shared" si="2"/>
        <v/>
      </c>
      <c r="V25" s="23" t="s">
        <v>168</v>
      </c>
      <c r="W25" s="24">
        <v>46218</v>
      </c>
      <c r="X25" s="45">
        <f ca="1" t="shared" si="3"/>
        <v>19</v>
      </c>
      <c r="Y25" s="23" t="s">
        <v>169</v>
      </c>
      <c r="Z25" s="46" t="str">
        <f>IFERROR(INDEX(Aarón!$P:$P,MATCH($C25,Aarón!$A:$A,0))&amp;"",IFERROR(INDEX(Rubit!$P:$P,MATCH($C25,Rubit!$A:$A,0))&amp;"",IFERROR(INDEX(Luis!$P:$P,MATCH($C25,Luis!$A:$A,0))&amp;"","")))</f>
        <v/>
      </c>
      <c r="AA25" s="43" t="str">
        <f>IFERROR(INDEX(Aarón!$Q:$Q,MATCH($C25,Aarón!$A:$A,0))&amp;"",IFERROR(INDEX(Rubit!$Q:$Q,MATCH($C25,Rubit!$A:$A,0))&amp;"",IFERROR(INDEX(Luis!$Q:$Q,MATCH($C25,Luis!$A:$A,0))&amp;"","")))</f>
        <v/>
      </c>
      <c r="AB25" s="43" t="str">
        <f>IFERROR(INDEX('Juan Carlos'!$Q:$Q,MATCH($C25,'Juan Carlos'!$A:$A,0))&amp;"","")</f>
        <v>en diseño</v>
      </c>
    </row>
    <row r="26" ht="30" customHeight="1" spans="1:28">
      <c r="A26" s="40"/>
      <c r="B26" s="41" t="s">
        <v>170</v>
      </c>
      <c r="C26" s="42" t="s">
        <v>171</v>
      </c>
      <c r="D26" s="42"/>
      <c r="E26" s="42" t="s">
        <v>60</v>
      </c>
      <c r="F26" s="42" t="s">
        <v>61</v>
      </c>
      <c r="G26" s="42" t="s">
        <v>129</v>
      </c>
      <c r="H26" s="42" t="s">
        <v>110</v>
      </c>
      <c r="I26" s="42" t="s">
        <v>64</v>
      </c>
      <c r="J26" s="43" t="str">
        <f>IFERROR(INDEX('Juan Carlos'!$P:$P,MATCH($C26,'Juan Carlos'!$A:$A,0))&amp;"","")</f>
        <v/>
      </c>
      <c r="K26" s="20" t="str">
        <f t="shared" si="0"/>
        <v>B</v>
      </c>
      <c r="L26" s="43" t="str">
        <f ca="1" t="shared" si="1"/>
        <v>CONGELAR HOY</v>
      </c>
      <c r="M26" s="42" t="s">
        <v>65</v>
      </c>
      <c r="N26" s="42" t="s">
        <v>76</v>
      </c>
      <c r="O26" s="42" t="s">
        <v>76</v>
      </c>
      <c r="P26" s="42" t="s">
        <v>67</v>
      </c>
      <c r="Q26" s="42" t="s">
        <v>81</v>
      </c>
      <c r="R26" s="42"/>
      <c r="S26" s="42"/>
      <c r="T26" s="42"/>
      <c r="U26" s="44" t="str">
        <f t="shared" si="2"/>
        <v/>
      </c>
      <c r="V26" s="23" t="s">
        <v>168</v>
      </c>
      <c r="W26" s="24">
        <v>46218</v>
      </c>
      <c r="X26" s="45">
        <f ca="1" t="shared" si="3"/>
        <v>19</v>
      </c>
      <c r="Y26" s="23" t="s">
        <v>172</v>
      </c>
      <c r="Z26" s="46" t="str">
        <f>IFERROR(INDEX(Aarón!$P:$P,MATCH($C26,Aarón!$A:$A,0))&amp;"",IFERROR(INDEX(Rubit!$P:$P,MATCH($C26,Rubit!$A:$A,0))&amp;"",IFERROR(INDEX(Luis!$P:$P,MATCH($C26,Luis!$A:$A,0))&amp;"","")))</f>
        <v/>
      </c>
      <c r="AA26" s="43" t="str">
        <f>IFERROR(INDEX(Aarón!$Q:$Q,MATCH($C26,Aarón!$A:$A,0))&amp;"",IFERROR(INDEX(Rubit!$Q:$Q,MATCH($C26,Rubit!$A:$A,0))&amp;"",IFERROR(INDEX(Luis!$Q:$Q,MATCH($C26,Luis!$A:$A,0))&amp;"","")))</f>
        <v/>
      </c>
      <c r="AB26" s="43" t="str">
        <f>IFERROR(INDEX('Juan Carlos'!$Q:$Q,MATCH($C26,'Juan Carlos'!$A:$A,0))&amp;"","")</f>
        <v/>
      </c>
    </row>
    <row r="27" ht="30" customHeight="1" spans="1:28">
      <c r="A27" s="40">
        <v>11</v>
      </c>
      <c r="B27" s="41" t="s">
        <v>173</v>
      </c>
      <c r="C27" s="42" t="s">
        <v>174</v>
      </c>
      <c r="D27" s="42"/>
      <c r="E27" s="42" t="s">
        <v>60</v>
      </c>
      <c r="F27" s="42" t="s">
        <v>61</v>
      </c>
      <c r="G27" s="42" t="s">
        <v>86</v>
      </c>
      <c r="H27" s="42" t="s">
        <v>74</v>
      </c>
      <c r="I27" s="42" t="s">
        <v>64</v>
      </c>
      <c r="J27" s="43" t="str">
        <f>IFERROR(INDEX('Juan Carlos'!$P:$P,MATCH($C27,'Juan Carlos'!$A:$A,0))&amp;"","")</f>
        <v/>
      </c>
      <c r="K27" s="20" t="str">
        <f t="shared" si="0"/>
        <v>B</v>
      </c>
      <c r="L27" s="43" t="str">
        <f ca="1" t="shared" si="1"/>
        <v>CONGELAR HOY</v>
      </c>
      <c r="M27" s="42" t="s">
        <v>65</v>
      </c>
      <c r="N27" s="42" t="s">
        <v>76</v>
      </c>
      <c r="O27" s="42" t="s">
        <v>76</v>
      </c>
      <c r="P27" s="42" t="s">
        <v>87</v>
      </c>
      <c r="Q27" s="42" t="s">
        <v>81</v>
      </c>
      <c r="R27" s="42"/>
      <c r="S27" s="42"/>
      <c r="T27" s="42"/>
      <c r="U27" s="44" t="str">
        <f t="shared" si="2"/>
        <v/>
      </c>
      <c r="V27" s="23" t="s">
        <v>175</v>
      </c>
      <c r="W27" s="24">
        <v>46219</v>
      </c>
      <c r="X27" s="45">
        <f ca="1" t="shared" si="3"/>
        <v>18</v>
      </c>
      <c r="Y27" s="23" t="s">
        <v>176</v>
      </c>
      <c r="Z27" s="46" t="str">
        <f>IFERROR(INDEX(Aarón!$P:$P,MATCH($C27,Aarón!$A:$A,0))&amp;"",IFERROR(INDEX(Rubit!$P:$P,MATCH($C27,Rubit!$A:$A,0))&amp;"",IFERROR(INDEX(Luis!$P:$P,MATCH($C27,Luis!$A:$A,0))&amp;"","")))</f>
        <v/>
      </c>
      <c r="AA27" s="43" t="str">
        <f>IFERROR(INDEX(Aarón!$Q:$Q,MATCH($C27,Aarón!$A:$A,0))&amp;"",IFERROR(INDEX(Rubit!$Q:$Q,MATCH($C27,Rubit!$A:$A,0))&amp;"",IFERROR(INDEX(Luis!$Q:$Q,MATCH($C27,Luis!$A:$A,0))&amp;"","")))</f>
        <v/>
      </c>
      <c r="AB27" s="43" t="str">
        <f>IFERROR(INDEX('Juan Carlos'!$Q:$Q,MATCH($C27,'Juan Carlos'!$A:$A,0))&amp;"","")</f>
        <v/>
      </c>
    </row>
    <row r="28" ht="30" customHeight="1" spans="1:28">
      <c r="A28" s="40">
        <v>6</v>
      </c>
      <c r="B28" s="41" t="s">
        <v>177</v>
      </c>
      <c r="C28" s="42" t="s">
        <v>178</v>
      </c>
      <c r="D28" s="42"/>
      <c r="E28" s="42" t="s">
        <v>73</v>
      </c>
      <c r="F28" s="42" t="s">
        <v>61</v>
      </c>
      <c r="G28" s="42" t="s">
        <v>129</v>
      </c>
      <c r="H28" s="42" t="s">
        <v>110</v>
      </c>
      <c r="I28" s="42" t="s">
        <v>64</v>
      </c>
      <c r="J28" s="43" t="str">
        <f>IFERROR(INDEX('Juan Carlos'!$P:$P,MATCH($C28,'Juan Carlos'!$A:$A,0))&amp;"","")</f>
        <v/>
      </c>
      <c r="K28" s="20" t="str">
        <f t="shared" si="0"/>
        <v>B</v>
      </c>
      <c r="L28" s="43" t="str">
        <f ca="1" t="shared" si="1"/>
        <v>CONGELAR HOY</v>
      </c>
      <c r="M28" s="42" t="s">
        <v>65</v>
      </c>
      <c r="N28" s="42" t="s">
        <v>76</v>
      </c>
      <c r="O28" s="42" t="s">
        <v>76</v>
      </c>
      <c r="P28" s="42" t="s">
        <v>67</v>
      </c>
      <c r="Q28" s="42" t="s">
        <v>76</v>
      </c>
      <c r="R28" s="42"/>
      <c r="S28" s="42"/>
      <c r="T28" s="42"/>
      <c r="U28" s="44" t="str">
        <f t="shared" si="2"/>
        <v/>
      </c>
      <c r="V28" s="23" t="s">
        <v>179</v>
      </c>
      <c r="W28" s="24">
        <v>46218</v>
      </c>
      <c r="X28" s="45">
        <f ca="1" t="shared" si="3"/>
        <v>19</v>
      </c>
      <c r="Y28" s="23" t="s">
        <v>180</v>
      </c>
      <c r="Z28" s="46" t="str">
        <f>IFERROR(INDEX(Aarón!$P:$P,MATCH($C28,Aarón!$A:$A,0))&amp;"",IFERROR(INDEX(Rubit!$P:$P,MATCH($C28,Rubit!$A:$A,0))&amp;"",IFERROR(INDEX(Luis!$P:$P,MATCH($C28,Luis!$A:$A,0))&amp;"","")))</f>
        <v/>
      </c>
      <c r="AA28" s="43" t="str">
        <f>IFERROR(INDEX(Aarón!$Q:$Q,MATCH($C28,Aarón!$A:$A,0))&amp;"",IFERROR(INDEX(Rubit!$Q:$Q,MATCH($C28,Rubit!$A:$A,0))&amp;"",IFERROR(INDEX(Luis!$Q:$Q,MATCH($C28,Luis!$A:$A,0))&amp;"","")))</f>
        <v/>
      </c>
      <c r="AB28" s="43" t="str">
        <f>IFERROR(INDEX('Juan Carlos'!$Q:$Q,MATCH($C28,'Juan Carlos'!$A:$A,0))&amp;"","")</f>
        <v/>
      </c>
    </row>
    <row r="29" ht="30" customHeight="1" spans="1:28">
      <c r="A29" s="40">
        <v>7</v>
      </c>
      <c r="B29" s="41" t="s">
        <v>181</v>
      </c>
      <c r="C29" s="42" t="s">
        <v>182</v>
      </c>
      <c r="D29" s="42"/>
      <c r="E29" s="42" t="s">
        <v>60</v>
      </c>
      <c r="F29" s="42" t="s">
        <v>61</v>
      </c>
      <c r="G29" s="42" t="s">
        <v>129</v>
      </c>
      <c r="H29" s="42" t="s">
        <v>74</v>
      </c>
      <c r="I29" s="42" t="s">
        <v>64</v>
      </c>
      <c r="J29" s="43" t="str">
        <f>IFERROR(INDEX('Juan Carlos'!$P:$P,MATCH($C29,'Juan Carlos'!$A:$A,0))&amp;"","")</f>
        <v>Diseño en curso</v>
      </c>
      <c r="K29" s="20" t="str">
        <f t="shared" si="0"/>
        <v>A</v>
      </c>
      <c r="L29" s="43" t="str">
        <f ca="1" t="shared" si="1"/>
        <v>CONGELAR HOY</v>
      </c>
      <c r="M29" s="42" t="s">
        <v>65</v>
      </c>
      <c r="N29" s="42" t="s">
        <v>76</v>
      </c>
      <c r="O29" s="42" t="s">
        <v>76</v>
      </c>
      <c r="P29" s="42" t="s">
        <v>75</v>
      </c>
      <c r="Q29" s="42" t="s">
        <v>81</v>
      </c>
      <c r="R29" s="42"/>
      <c r="S29" s="42"/>
      <c r="T29" s="42"/>
      <c r="U29" s="44" t="str">
        <f t="shared" si="2"/>
        <v/>
      </c>
      <c r="V29" s="23" t="s">
        <v>183</v>
      </c>
      <c r="W29" s="24">
        <v>46218</v>
      </c>
      <c r="X29" s="45">
        <f ca="1" t="shared" si="3"/>
        <v>19</v>
      </c>
      <c r="Y29" s="23" t="s">
        <v>184</v>
      </c>
      <c r="Z29" s="46" t="str">
        <f>IFERROR(INDEX(Aarón!$P:$P,MATCH($C29,Aarón!$A:$A,0))&amp;"",IFERROR(INDEX(Rubit!$P:$P,MATCH($C29,Rubit!$A:$A,0))&amp;"",IFERROR(INDEX(Luis!$P:$P,MATCH($C29,Luis!$A:$A,0))&amp;"","")))</f>
        <v/>
      </c>
      <c r="AA29" s="43" t="str">
        <f>IFERROR(INDEX(Aarón!$Q:$Q,MATCH($C29,Aarón!$A:$A,0))&amp;"",IFERROR(INDEX(Rubit!$Q:$Q,MATCH($C29,Rubit!$A:$A,0))&amp;"",IFERROR(INDEX(Luis!$Q:$Q,MATCH($C29,Luis!$A:$A,0))&amp;"","")))</f>
        <v/>
      </c>
      <c r="AB29" s="43" t="str">
        <f>IFERROR(INDEX('Juan Carlos'!$Q:$Q,MATCH($C29,'Juan Carlos'!$A:$A,0))&amp;"","")</f>
        <v>Lunes</v>
      </c>
    </row>
    <row r="30" ht="30" customHeight="1" spans="1:28">
      <c r="A30" s="40">
        <v>5</v>
      </c>
      <c r="B30" s="41" t="s">
        <v>185</v>
      </c>
      <c r="C30" s="42" t="s">
        <v>186</v>
      </c>
      <c r="D30" s="42"/>
      <c r="E30" s="42" t="s">
        <v>73</v>
      </c>
      <c r="F30" s="42" t="s">
        <v>61</v>
      </c>
      <c r="G30" s="42" t="s">
        <v>129</v>
      </c>
      <c r="H30" s="42" t="s">
        <v>110</v>
      </c>
      <c r="I30" s="42" t="s">
        <v>64</v>
      </c>
      <c r="J30" s="43" t="str">
        <f>IFERROR(INDEX('Juan Carlos'!$P:$P,MATCH($C30,'Juan Carlos'!$A:$A,0))&amp;"","")</f>
        <v>Avance listo para presentar</v>
      </c>
      <c r="K30" s="20" t="str">
        <f t="shared" si="0"/>
        <v>A</v>
      </c>
      <c r="L30" s="43" t="str">
        <f ca="1" t="shared" si="1"/>
        <v>CONGELAR HOY</v>
      </c>
      <c r="M30" s="42" t="s">
        <v>65</v>
      </c>
      <c r="N30" s="42" t="s">
        <v>76</v>
      </c>
      <c r="O30" s="42" t="s">
        <v>76</v>
      </c>
      <c r="P30" s="42" t="s">
        <v>75</v>
      </c>
      <c r="Q30" s="42" t="s">
        <v>76</v>
      </c>
      <c r="R30" s="42"/>
      <c r="S30" s="42"/>
      <c r="T30" s="42"/>
      <c r="U30" s="44" t="str">
        <f t="shared" si="2"/>
        <v/>
      </c>
      <c r="V30" s="23" t="s">
        <v>183</v>
      </c>
      <c r="W30" s="24">
        <v>46218</v>
      </c>
      <c r="X30" s="45">
        <f ca="1" t="shared" si="3"/>
        <v>19</v>
      </c>
      <c r="Y30" s="23" t="s">
        <v>187</v>
      </c>
      <c r="Z30" s="46" t="str">
        <f>IFERROR(INDEX(Aarón!$P:$P,MATCH($C30,Aarón!$A:$A,0))&amp;"",IFERROR(INDEX(Rubit!$P:$P,MATCH($C30,Rubit!$A:$A,0))&amp;"",IFERROR(INDEX(Luis!$P:$P,MATCH($C30,Luis!$A:$A,0))&amp;"","")))</f>
        <v/>
      </c>
      <c r="AA30" s="43" t="str">
        <f>IFERROR(INDEX(Aarón!$Q:$Q,MATCH($C30,Aarón!$A:$A,0))&amp;"",IFERROR(INDEX(Rubit!$Q:$Q,MATCH($C30,Rubit!$A:$A,0))&amp;"",IFERROR(INDEX(Luis!$Q:$Q,MATCH($C30,Luis!$A:$A,0))&amp;"","")))</f>
        <v/>
      </c>
      <c r="AB30" s="43" t="str">
        <f>IFERROR(INDEX('Juan Carlos'!$Q:$Q,MATCH($C30,'Juan Carlos'!$A:$A,0))&amp;"","")</f>
        <v>avance listo</v>
      </c>
    </row>
    <row r="31" ht="30" customHeight="1" spans="1:28">
      <c r="A31" s="40">
        <v>8</v>
      </c>
      <c r="B31" s="41" t="s">
        <v>188</v>
      </c>
      <c r="C31" s="42" t="s">
        <v>189</v>
      </c>
      <c r="D31" s="42"/>
      <c r="E31" s="42" t="s">
        <v>60</v>
      </c>
      <c r="F31" s="42" t="s">
        <v>61</v>
      </c>
      <c r="G31" s="42" t="s">
        <v>129</v>
      </c>
      <c r="H31" s="42" t="s">
        <v>110</v>
      </c>
      <c r="I31" s="42" t="s">
        <v>64</v>
      </c>
      <c r="J31" s="43" t="str">
        <f>IFERROR(INDEX('Juan Carlos'!$P:$P,MATCH($C31,'Juan Carlos'!$A:$A,0))&amp;"","")</f>
        <v>Material completo — iniciar diseño</v>
      </c>
      <c r="K31" s="20" t="str">
        <f t="shared" si="0"/>
        <v>A</v>
      </c>
      <c r="L31" s="43" t="str">
        <f ca="1" t="shared" si="1"/>
        <v>CONGELAR HOY</v>
      </c>
      <c r="M31" s="42" t="s">
        <v>65</v>
      </c>
      <c r="N31" s="42" t="s">
        <v>76</v>
      </c>
      <c r="O31" s="42" t="s">
        <v>76</v>
      </c>
      <c r="P31" s="42" t="s">
        <v>75</v>
      </c>
      <c r="Q31" s="42" t="s">
        <v>81</v>
      </c>
      <c r="R31" s="42"/>
      <c r="S31" s="42"/>
      <c r="T31" s="42"/>
      <c r="U31" s="44" t="str">
        <f t="shared" si="2"/>
        <v/>
      </c>
      <c r="V31" s="23" t="s">
        <v>190</v>
      </c>
      <c r="W31" s="24">
        <v>46218</v>
      </c>
      <c r="X31" s="45">
        <f ca="1" t="shared" si="3"/>
        <v>19</v>
      </c>
      <c r="Y31" s="23" t="s">
        <v>191</v>
      </c>
      <c r="Z31" s="46" t="str">
        <f>IFERROR(INDEX(Aarón!$P:$P,MATCH($C31,Aarón!$A:$A,0))&amp;"",IFERROR(INDEX(Rubit!$P:$P,MATCH($C31,Rubit!$A:$A,0))&amp;"",IFERROR(INDEX(Luis!$P:$P,MATCH($C31,Luis!$A:$A,0))&amp;"","")))</f>
        <v/>
      </c>
      <c r="AA31" s="43" t="str">
        <f>IFERROR(INDEX(Aarón!$Q:$Q,MATCH($C31,Aarón!$A:$A,0))&amp;"",IFERROR(INDEX(Rubit!$Q:$Q,MATCH($C31,Rubit!$A:$A,0))&amp;"",IFERROR(INDEX(Luis!$Q:$Q,MATCH($C31,Luis!$A:$A,0))&amp;"","")))</f>
        <v/>
      </c>
      <c r="AB31" s="43" t="str">
        <f>IFERROR(INDEX('Juan Carlos'!$Q:$Q,MATCH($C31,'Juan Carlos'!$A:$A,0))&amp;"","")</f>
        <v/>
      </c>
    </row>
    <row r="32" ht="30" customHeight="1" spans="1:28">
      <c r="A32" s="40">
        <v>3</v>
      </c>
      <c r="B32" s="41" t="s">
        <v>192</v>
      </c>
      <c r="C32" s="42" t="s">
        <v>193</v>
      </c>
      <c r="D32" s="42"/>
      <c r="E32" s="42" t="s">
        <v>60</v>
      </c>
      <c r="F32" s="42" t="s">
        <v>61</v>
      </c>
      <c r="G32" s="42" t="s">
        <v>129</v>
      </c>
      <c r="H32" s="42" t="s">
        <v>74</v>
      </c>
      <c r="I32" s="42" t="s">
        <v>64</v>
      </c>
      <c r="J32" s="43" t="str">
        <f>IFERROR(INDEX('Juan Carlos'!$P:$P,MATCH($C32,'Juan Carlos'!$A:$A,0))&amp;"","")</f>
        <v>Material completo — iniciar diseño</v>
      </c>
      <c r="K32" s="20" t="str">
        <f t="shared" si="0"/>
        <v>A</v>
      </c>
      <c r="L32" s="43" t="str">
        <f ca="1" t="shared" si="1"/>
        <v>CONGELAR HOY</v>
      </c>
      <c r="M32" s="42" t="s">
        <v>65</v>
      </c>
      <c r="N32" s="42" t="s">
        <v>76</v>
      </c>
      <c r="O32" s="42" t="s">
        <v>76</v>
      </c>
      <c r="P32" s="42" t="s">
        <v>75</v>
      </c>
      <c r="Q32" s="42" t="s">
        <v>101</v>
      </c>
      <c r="R32" s="42">
        <v>110</v>
      </c>
      <c r="S32" s="42"/>
      <c r="T32" s="42"/>
      <c r="U32" s="44">
        <f t="shared" si="2"/>
        <v>0</v>
      </c>
      <c r="V32" s="23" t="s">
        <v>194</v>
      </c>
      <c r="W32" s="24">
        <v>46218</v>
      </c>
      <c r="X32" s="45">
        <f ca="1" t="shared" si="3"/>
        <v>19</v>
      </c>
      <c r="Y32" s="23" t="s">
        <v>195</v>
      </c>
      <c r="Z32" s="46" t="str">
        <f>IFERROR(INDEX(Aarón!$P:$P,MATCH($C32,Aarón!$A:$A,0))&amp;"",IFERROR(INDEX(Rubit!$P:$P,MATCH($C32,Rubit!$A:$A,0))&amp;"",IFERROR(INDEX(Luis!$P:$P,MATCH($C32,Luis!$A:$A,0))&amp;"","")))</f>
        <v/>
      </c>
      <c r="AA32" s="43" t="str">
        <f>IFERROR(INDEX(Aarón!$Q:$Q,MATCH($C32,Aarón!$A:$A,0))&amp;"",IFERROR(INDEX(Rubit!$Q:$Q,MATCH($C32,Rubit!$A:$A,0))&amp;"",IFERROR(INDEX(Luis!$Q:$Q,MATCH($C32,Luis!$A:$A,0))&amp;"","")))</f>
        <v/>
      </c>
      <c r="AB32" s="43" t="str">
        <f>IFERROR(INDEX('Juan Carlos'!$Q:$Q,MATCH($C32,'Juan Carlos'!$A:$A,0))&amp;"","")</f>
        <v/>
      </c>
    </row>
    <row r="33" ht="30" customHeight="1" spans="1:28">
      <c r="A33" s="40">
        <v>4</v>
      </c>
      <c r="B33" s="41" t="s">
        <v>196</v>
      </c>
      <c r="C33" s="42" t="s">
        <v>197</v>
      </c>
      <c r="D33" s="42"/>
      <c r="E33" s="42" t="s">
        <v>60</v>
      </c>
      <c r="F33" s="42" t="s">
        <v>61</v>
      </c>
      <c r="G33" s="42" t="s">
        <v>129</v>
      </c>
      <c r="H33" s="42" t="s">
        <v>110</v>
      </c>
      <c r="I33" s="42" t="s">
        <v>64</v>
      </c>
      <c r="J33" s="43" t="str">
        <f>IFERROR(INDEX('Juan Carlos'!$P:$P,MATCH($C33,'Juan Carlos'!$A:$A,0))&amp;"","")</f>
        <v>Material completo — iniciar diseño</v>
      </c>
      <c r="K33" s="20" t="str">
        <f t="shared" si="0"/>
        <v>A</v>
      </c>
      <c r="L33" s="43" t="str">
        <f ca="1" t="shared" si="1"/>
        <v>CONGELAR HOY</v>
      </c>
      <c r="M33" s="42" t="s">
        <v>65</v>
      </c>
      <c r="N33" s="42" t="s">
        <v>76</v>
      </c>
      <c r="O33" s="42" t="s">
        <v>76</v>
      </c>
      <c r="P33" s="42" t="s">
        <v>75</v>
      </c>
      <c r="Q33" s="42" t="s">
        <v>81</v>
      </c>
      <c r="R33" s="42"/>
      <c r="S33" s="42"/>
      <c r="T33" s="42"/>
      <c r="U33" s="44" t="str">
        <f t="shared" si="2"/>
        <v/>
      </c>
      <c r="V33" s="23" t="s">
        <v>183</v>
      </c>
      <c r="W33" s="24">
        <v>46218</v>
      </c>
      <c r="X33" s="45">
        <f ca="1" t="shared" si="3"/>
        <v>19</v>
      </c>
      <c r="Y33" s="23" t="s">
        <v>198</v>
      </c>
      <c r="Z33" s="46" t="str">
        <f>IFERROR(INDEX(Aarón!$P:$P,MATCH($C33,Aarón!$A:$A,0))&amp;"",IFERROR(INDEX(Rubit!$P:$P,MATCH($C33,Rubit!$A:$A,0))&amp;"",IFERROR(INDEX(Luis!$P:$P,MATCH($C33,Luis!$A:$A,0))&amp;"","")))</f>
        <v/>
      </c>
      <c r="AA33" s="43" t="str">
        <f>IFERROR(INDEX(Aarón!$Q:$Q,MATCH($C33,Aarón!$A:$A,0))&amp;"",IFERROR(INDEX(Rubit!$Q:$Q,MATCH($C33,Rubit!$A:$A,0))&amp;"",IFERROR(INDEX(Luis!$Q:$Q,MATCH($C33,Luis!$A:$A,0))&amp;"","")))</f>
        <v/>
      </c>
      <c r="AB33" s="43" t="str">
        <f>IFERROR(INDEX('Juan Carlos'!$Q:$Q,MATCH($C33,'Juan Carlos'!$A:$A,0))&amp;"","")</f>
        <v/>
      </c>
    </row>
    <row r="34" ht="30" customHeight="1" spans="1:28">
      <c r="A34" s="40">
        <v>10</v>
      </c>
      <c r="B34" s="41" t="s">
        <v>199</v>
      </c>
      <c r="C34" s="42" t="s">
        <v>200</v>
      </c>
      <c r="D34" s="42"/>
      <c r="E34" s="42" t="s">
        <v>60</v>
      </c>
      <c r="F34" s="42" t="s">
        <v>61</v>
      </c>
      <c r="G34" s="42" t="s">
        <v>201</v>
      </c>
      <c r="H34" s="42" t="s">
        <v>74</v>
      </c>
      <c r="I34" s="42" t="s">
        <v>64</v>
      </c>
      <c r="J34" s="43" t="str">
        <f>IFERROR(INDEX('Juan Carlos'!$P:$P,MATCH($C34,'Juan Carlos'!$A:$A,0))&amp;"","")</f>
        <v/>
      </c>
      <c r="K34" s="20" t="str">
        <f t="shared" si="0"/>
        <v>B</v>
      </c>
      <c r="L34" s="43" t="str">
        <f ca="1" t="shared" si="1"/>
        <v>CONGELAR HOY</v>
      </c>
      <c r="M34" s="42" t="s">
        <v>65</v>
      </c>
      <c r="N34" s="42" t="s">
        <v>76</v>
      </c>
      <c r="O34" s="42" t="s">
        <v>76</v>
      </c>
      <c r="P34" s="42" t="s">
        <v>67</v>
      </c>
      <c r="Q34" s="42" t="s">
        <v>81</v>
      </c>
      <c r="R34" s="42"/>
      <c r="S34" s="42"/>
      <c r="T34" s="42"/>
      <c r="U34" s="44" t="str">
        <f t="shared" si="2"/>
        <v/>
      </c>
      <c r="V34" s="23" t="s">
        <v>168</v>
      </c>
      <c r="W34" s="24">
        <v>46218</v>
      </c>
      <c r="X34" s="45">
        <f ca="1" t="shared" si="3"/>
        <v>19</v>
      </c>
      <c r="Y34" s="23" t="s">
        <v>202</v>
      </c>
      <c r="Z34" s="46" t="str">
        <f>IFERROR(INDEX(Aarón!$P:$P,MATCH($C34,Aarón!$A:$A,0))&amp;"",IFERROR(INDEX(Rubit!$P:$P,MATCH($C34,Rubit!$A:$A,0))&amp;"",IFERROR(INDEX(Luis!$P:$P,MATCH($C34,Luis!$A:$A,0))&amp;"","")))</f>
        <v/>
      </c>
      <c r="AA34" s="43" t="str">
        <f>IFERROR(INDEX(Aarón!$Q:$Q,MATCH($C34,Aarón!$A:$A,0))&amp;"",IFERROR(INDEX(Rubit!$Q:$Q,MATCH($C34,Rubit!$A:$A,0))&amp;"",IFERROR(INDEX(Luis!$Q:$Q,MATCH($C34,Luis!$A:$A,0))&amp;"","")))</f>
        <v/>
      </c>
      <c r="AB34" s="43" t="str">
        <f>IFERROR(INDEX('Juan Carlos'!$Q:$Q,MATCH($C34,'Juan Carlos'!$A:$A,0))&amp;"","")</f>
        <v/>
      </c>
    </row>
    <row r="35" ht="30" customHeight="1" spans="1:28">
      <c r="A35" s="40"/>
      <c r="B35" s="41" t="s">
        <v>203</v>
      </c>
      <c r="C35" s="42" t="s">
        <v>204</v>
      </c>
      <c r="D35" s="42"/>
      <c r="E35" s="42" t="s">
        <v>73</v>
      </c>
      <c r="F35" s="42" t="s">
        <v>61</v>
      </c>
      <c r="G35" s="42" t="s">
        <v>77</v>
      </c>
      <c r="H35" s="42" t="s">
        <v>63</v>
      </c>
      <c r="I35" s="42" t="s">
        <v>64</v>
      </c>
      <c r="J35" s="43" t="str">
        <f>IFERROR(INDEX('Juan Carlos'!$P:$P,MATCH($C35,'Juan Carlos'!$A:$A,0))&amp;"","")</f>
        <v/>
      </c>
      <c r="K35" s="20" t="str">
        <f t="shared" si="0"/>
        <v>C</v>
      </c>
      <c r="L35" s="43" t="str">
        <f ca="1" t="shared" si="1"/>
        <v>CONGELAR HOY</v>
      </c>
      <c r="M35" s="42" t="s">
        <v>76</v>
      </c>
      <c r="N35" s="42" t="s">
        <v>76</v>
      </c>
      <c r="O35" s="42" t="s">
        <v>76</v>
      </c>
      <c r="P35" s="42" t="s">
        <v>67</v>
      </c>
      <c r="Q35" s="42" t="s">
        <v>76</v>
      </c>
      <c r="R35" s="42"/>
      <c r="S35" s="42"/>
      <c r="T35" s="42"/>
      <c r="U35" s="44" t="str">
        <f t="shared" si="2"/>
        <v/>
      </c>
      <c r="V35" s="23" t="s">
        <v>205</v>
      </c>
      <c r="W35" s="24">
        <v>46218</v>
      </c>
      <c r="X35" s="45">
        <f ca="1" t="shared" si="3"/>
        <v>19</v>
      </c>
      <c r="Y35" s="23" t="s">
        <v>206</v>
      </c>
      <c r="Z35" s="46" t="str">
        <f>IFERROR(INDEX(Aarón!$P:$P,MATCH($C35,Aarón!$A:$A,0))&amp;"",IFERROR(INDEX(Rubit!$P:$P,MATCH($C35,Rubit!$A:$A,0))&amp;"",IFERROR(INDEX(Luis!$P:$P,MATCH($C35,Luis!$A:$A,0))&amp;"","")))</f>
        <v/>
      </c>
      <c r="AA35" s="43" t="str">
        <f>IFERROR(INDEX(Aarón!$Q:$Q,MATCH($C35,Aarón!$A:$A,0))&amp;"",IFERROR(INDEX(Rubit!$Q:$Q,MATCH($C35,Rubit!$A:$A,0))&amp;"",IFERROR(INDEX(Luis!$Q:$Q,MATCH($C35,Luis!$A:$A,0))&amp;"","")))</f>
        <v/>
      </c>
      <c r="AB35" s="43" t="str">
        <f>IFERROR(INDEX('Juan Carlos'!$Q:$Q,MATCH($C35,'Juan Carlos'!$A:$A,0))&amp;"","")</f>
        <v/>
      </c>
    </row>
    <row r="36" ht="30" customHeight="1" spans="1:28">
      <c r="A36" s="40"/>
      <c r="B36" s="41" t="s">
        <v>207</v>
      </c>
      <c r="C36" s="42" t="s">
        <v>208</v>
      </c>
      <c r="D36" s="42"/>
      <c r="E36" s="42" t="s">
        <v>73</v>
      </c>
      <c r="F36" s="42" t="s">
        <v>61</v>
      </c>
      <c r="G36" s="42" t="s">
        <v>86</v>
      </c>
      <c r="H36" s="42" t="s">
        <v>110</v>
      </c>
      <c r="I36" s="42" t="s">
        <v>64</v>
      </c>
      <c r="J36" s="43" t="str">
        <f>IFERROR(INDEX('Juan Carlos'!$P:$P,MATCH($C36,'Juan Carlos'!$A:$A,0))&amp;"","")</f>
        <v/>
      </c>
      <c r="K36" s="20" t="str">
        <f t="shared" si="0"/>
        <v>B</v>
      </c>
      <c r="L36" s="43" t="str">
        <f ca="1" t="shared" si="1"/>
        <v>CONGELAR HOY</v>
      </c>
      <c r="M36" s="42" t="s">
        <v>65</v>
      </c>
      <c r="N36" s="42" t="s">
        <v>76</v>
      </c>
      <c r="O36" s="42" t="s">
        <v>76</v>
      </c>
      <c r="P36" s="42" t="s">
        <v>67</v>
      </c>
      <c r="Q36" s="42" t="s">
        <v>76</v>
      </c>
      <c r="R36" s="42"/>
      <c r="S36" s="42"/>
      <c r="T36" s="42"/>
      <c r="U36" s="44" t="str">
        <f t="shared" si="2"/>
        <v/>
      </c>
      <c r="V36" s="23" t="s">
        <v>168</v>
      </c>
      <c r="W36" s="24">
        <v>46218</v>
      </c>
      <c r="X36" s="45">
        <f ca="1" t="shared" si="3"/>
        <v>19</v>
      </c>
      <c r="Y36" s="23" t="s">
        <v>209</v>
      </c>
      <c r="Z36" s="46" t="str">
        <f>IFERROR(INDEX(Aarón!$P:$P,MATCH($C36,Aarón!$A:$A,0))&amp;"",IFERROR(INDEX(Rubit!$P:$P,MATCH($C36,Rubit!$A:$A,0))&amp;"",IFERROR(INDEX(Luis!$P:$P,MATCH($C36,Luis!$A:$A,0))&amp;"","")))</f>
        <v/>
      </c>
      <c r="AA36" s="43" t="str">
        <f>IFERROR(INDEX(Aarón!$Q:$Q,MATCH($C36,Aarón!$A:$A,0))&amp;"",IFERROR(INDEX(Rubit!$Q:$Q,MATCH($C36,Rubit!$A:$A,0))&amp;"",IFERROR(INDEX(Luis!$Q:$Q,MATCH($C36,Luis!$A:$A,0))&amp;"","")))</f>
        <v/>
      </c>
      <c r="AB36" s="43" t="str">
        <f>IFERROR(INDEX('Juan Carlos'!$Q:$Q,MATCH($C36,'Juan Carlos'!$A:$A,0))&amp;"","")</f>
        <v/>
      </c>
    </row>
    <row r="37" ht="30" customHeight="1" spans="1:28">
      <c r="A37" s="40"/>
      <c r="B37" s="41" t="s">
        <v>210</v>
      </c>
      <c r="C37" s="42" t="s">
        <v>211</v>
      </c>
      <c r="D37" s="42"/>
      <c r="E37" s="42" t="s">
        <v>73</v>
      </c>
      <c r="F37" s="42" t="s">
        <v>61</v>
      </c>
      <c r="G37" s="42" t="s">
        <v>201</v>
      </c>
      <c r="H37" s="42" t="s">
        <v>74</v>
      </c>
      <c r="I37" s="42" t="s">
        <v>64</v>
      </c>
      <c r="J37" s="43" t="str">
        <f>IFERROR(INDEX('Juan Carlos'!$P:$P,MATCH($C37,'Juan Carlos'!$A:$A,0))&amp;"","")</f>
        <v/>
      </c>
      <c r="K37" s="20" t="str">
        <f t="shared" si="0"/>
        <v>A</v>
      </c>
      <c r="L37" s="43" t="str">
        <f ca="1" t="shared" si="1"/>
        <v>Listo para asignar</v>
      </c>
      <c r="M37" s="42" t="s">
        <v>65</v>
      </c>
      <c r="N37" s="42" t="s">
        <v>76</v>
      </c>
      <c r="O37" s="42" t="s">
        <v>76</v>
      </c>
      <c r="P37" s="42" t="s">
        <v>75</v>
      </c>
      <c r="Q37" s="42" t="s">
        <v>76</v>
      </c>
      <c r="R37" s="42"/>
      <c r="S37" s="42"/>
      <c r="T37" s="42"/>
      <c r="U37" s="44" t="str">
        <f t="shared" si="2"/>
        <v/>
      </c>
      <c r="V37" s="23" t="s">
        <v>212</v>
      </c>
      <c r="W37" s="24"/>
      <c r="X37" s="45" t="str">
        <f ca="1" t="shared" si="3"/>
        <v/>
      </c>
      <c r="Y37" s="23" t="s">
        <v>213</v>
      </c>
      <c r="Z37" s="46" t="str">
        <f>IFERROR(INDEX(Aarón!$P:$P,MATCH($C37,Aarón!$A:$A,0))&amp;"",IFERROR(INDEX(Rubit!$P:$P,MATCH($C37,Rubit!$A:$A,0))&amp;"",IFERROR(INDEX(Luis!$P:$P,MATCH($C37,Luis!$A:$A,0))&amp;"","")))</f>
        <v/>
      </c>
      <c r="AA37" s="43" t="str">
        <f>IFERROR(INDEX(Aarón!$Q:$Q,MATCH($C37,Aarón!$A:$A,0))&amp;"",IFERROR(INDEX(Rubit!$Q:$Q,MATCH($C37,Rubit!$A:$A,0))&amp;"",IFERROR(INDEX(Luis!$Q:$Q,MATCH($C37,Luis!$A:$A,0))&amp;"","")))</f>
        <v/>
      </c>
      <c r="AB37" s="43" t="str">
        <f>IFERROR(INDEX('Juan Carlos'!$Q:$Q,MATCH($C37,'Juan Carlos'!$A:$A,0))&amp;"","")</f>
        <v/>
      </c>
    </row>
    <row r="38" ht="30" customHeight="1" spans="1:28">
      <c r="A38" s="40"/>
      <c r="B38" s="41"/>
      <c r="C38" s="42" t="s">
        <v>214</v>
      </c>
      <c r="D38" s="42"/>
      <c r="E38" s="42" t="s">
        <v>73</v>
      </c>
      <c r="F38" s="42" t="s">
        <v>61</v>
      </c>
      <c r="G38" s="42" t="s">
        <v>62</v>
      </c>
      <c r="H38" s="42" t="s">
        <v>63</v>
      </c>
      <c r="I38" s="42" t="s">
        <v>64</v>
      </c>
      <c r="J38" s="43" t="str">
        <f>IFERROR(INDEX('Juan Carlos'!$P:$P,MATCH($C38,'Juan Carlos'!$A:$A,0))&amp;"","")</f>
        <v/>
      </c>
      <c r="K38" s="20" t="str">
        <f t="shared" si="0"/>
        <v>A</v>
      </c>
      <c r="L38" s="43" t="str">
        <f ca="1" t="shared" si="1"/>
        <v>Al día</v>
      </c>
      <c r="M38" s="42" t="s">
        <v>65</v>
      </c>
      <c r="N38" s="42" t="s">
        <v>65</v>
      </c>
      <c r="O38" s="42" t="s">
        <v>65</v>
      </c>
      <c r="P38" s="42" t="s">
        <v>75</v>
      </c>
      <c r="Q38" s="42" t="s">
        <v>76</v>
      </c>
      <c r="R38" s="42"/>
      <c r="S38" s="42"/>
      <c r="T38" s="42"/>
      <c r="U38" s="44" t="str">
        <f t="shared" si="2"/>
        <v/>
      </c>
      <c r="V38" s="23" t="s">
        <v>215</v>
      </c>
      <c r="W38" s="24"/>
      <c r="X38" s="45" t="str">
        <f ca="1" t="shared" si="3"/>
        <v/>
      </c>
      <c r="Y38" s="23" t="s">
        <v>216</v>
      </c>
      <c r="Z38" s="46" t="str">
        <f>IFERROR(INDEX(Aarón!$P:$P,MATCH($C38,Aarón!$A:$A,0))&amp;"",IFERROR(INDEX(Rubit!$P:$P,MATCH($C38,Rubit!$A:$A,0))&amp;"",IFERROR(INDEX(Luis!$P:$P,MATCH($C38,Luis!$A:$A,0))&amp;"","")))</f>
        <v/>
      </c>
      <c r="AA38" s="43" t="str">
        <f>IFERROR(INDEX(Aarón!$Q:$Q,MATCH($C38,Aarón!$A:$A,0))&amp;"",IFERROR(INDEX(Rubit!$Q:$Q,MATCH($C38,Rubit!$A:$A,0))&amp;"",IFERROR(INDEX(Luis!$Q:$Q,MATCH($C38,Luis!$A:$A,0))&amp;"","")))</f>
        <v/>
      </c>
      <c r="AB38" s="43" t="str">
        <f>IFERROR(INDEX('Juan Carlos'!$Q:$Q,MATCH($C38,'Juan Carlos'!$A:$A,0))&amp;"","")</f>
        <v/>
      </c>
    </row>
    <row r="39" ht="30" customHeight="1" spans="1:28">
      <c r="A39" s="40"/>
      <c r="B39" s="41"/>
      <c r="C39" s="42" t="s">
        <v>217</v>
      </c>
      <c r="D39" s="42"/>
      <c r="E39" s="42" t="s">
        <v>60</v>
      </c>
      <c r="F39" s="42" t="s">
        <v>61</v>
      </c>
      <c r="G39" s="42" t="s">
        <v>62</v>
      </c>
      <c r="H39" s="42" t="s">
        <v>63</v>
      </c>
      <c r="I39" s="42" t="s">
        <v>64</v>
      </c>
      <c r="J39" s="43" t="str">
        <f>IFERROR(INDEX('Juan Carlos'!$P:$P,MATCH($C39,'Juan Carlos'!$A:$A,0))&amp;"","")</f>
        <v/>
      </c>
      <c r="K39" s="20" t="str">
        <f t="shared" si="0"/>
        <v>A</v>
      </c>
      <c r="L39" s="43" t="str">
        <f ca="1" t="shared" si="1"/>
        <v>Al día</v>
      </c>
      <c r="M39" s="42" t="s">
        <v>65</v>
      </c>
      <c r="N39" s="42" t="s">
        <v>65</v>
      </c>
      <c r="O39" s="42" t="s">
        <v>65</v>
      </c>
      <c r="P39" s="42" t="s">
        <v>75</v>
      </c>
      <c r="Q39" s="42" t="s">
        <v>68</v>
      </c>
      <c r="R39" s="42"/>
      <c r="S39" s="42"/>
      <c r="T39" s="42"/>
      <c r="U39" s="44" t="str">
        <f t="shared" si="2"/>
        <v/>
      </c>
      <c r="V39" s="23" t="s">
        <v>215</v>
      </c>
      <c r="W39" s="24"/>
      <c r="X39" s="45" t="str">
        <f ca="1" t="shared" si="3"/>
        <v/>
      </c>
      <c r="Y39" s="23" t="s">
        <v>218</v>
      </c>
      <c r="Z39" s="46" t="str">
        <f>IFERROR(INDEX(Aarón!$P:$P,MATCH($C39,Aarón!$A:$A,0))&amp;"",IFERROR(INDEX(Rubit!$P:$P,MATCH($C39,Rubit!$A:$A,0))&amp;"",IFERROR(INDEX(Luis!$P:$P,MATCH($C39,Luis!$A:$A,0))&amp;"","")))</f>
        <v/>
      </c>
      <c r="AA39" s="43" t="str">
        <f>IFERROR(INDEX(Aarón!$Q:$Q,MATCH($C39,Aarón!$A:$A,0))&amp;"",IFERROR(INDEX(Rubit!$Q:$Q,MATCH($C39,Rubit!$A:$A,0))&amp;"",IFERROR(INDEX(Luis!$Q:$Q,MATCH($C39,Luis!$A:$A,0))&amp;"","")))</f>
        <v/>
      </c>
      <c r="AB39" s="43" t="str">
        <f>IFERROR(INDEX('Juan Carlos'!$Q:$Q,MATCH($C39,'Juan Carlos'!$A:$A,0))&amp;"","")</f>
        <v/>
      </c>
    </row>
    <row r="40" ht="30" customHeight="1" spans="1:28">
      <c r="A40" s="40"/>
      <c r="B40" s="41"/>
      <c r="C40" s="42" t="s">
        <v>219</v>
      </c>
      <c r="D40" s="42"/>
      <c r="E40" s="42" t="s">
        <v>60</v>
      </c>
      <c r="F40" s="42" t="s">
        <v>61</v>
      </c>
      <c r="G40" s="42" t="s">
        <v>62</v>
      </c>
      <c r="H40" s="42" t="s">
        <v>74</v>
      </c>
      <c r="I40" s="42" t="s">
        <v>64</v>
      </c>
      <c r="J40" s="43" t="str">
        <f>IFERROR(INDEX('Juan Carlos'!$P:$P,MATCH($C40,'Juan Carlos'!$A:$A,0))&amp;"","")</f>
        <v/>
      </c>
      <c r="K40" s="20" t="str">
        <f t="shared" si="0"/>
        <v>A</v>
      </c>
      <c r="L40" s="43" t="str">
        <f ca="1" t="shared" si="1"/>
        <v>Al día</v>
      </c>
      <c r="M40" s="42" t="s">
        <v>65</v>
      </c>
      <c r="N40" s="42" t="s">
        <v>65</v>
      </c>
      <c r="O40" s="42" t="s">
        <v>65</v>
      </c>
      <c r="P40" s="42" t="s">
        <v>75</v>
      </c>
      <c r="Q40" s="42" t="s">
        <v>68</v>
      </c>
      <c r="R40" s="42"/>
      <c r="S40" s="42"/>
      <c r="T40" s="42"/>
      <c r="U40" s="44" t="str">
        <f t="shared" si="2"/>
        <v/>
      </c>
      <c r="V40" s="23" t="s">
        <v>215</v>
      </c>
      <c r="W40" s="24"/>
      <c r="X40" s="45" t="str">
        <f ca="1" t="shared" si="3"/>
        <v/>
      </c>
      <c r="Y40" s="23" t="s">
        <v>220</v>
      </c>
      <c r="Z40" s="46" t="str">
        <f>IFERROR(INDEX(Aarón!$P:$P,MATCH($C40,Aarón!$A:$A,0))&amp;"",IFERROR(INDEX(Rubit!$P:$P,MATCH($C40,Rubit!$A:$A,0))&amp;"",IFERROR(INDEX(Luis!$P:$P,MATCH($C40,Luis!$A:$A,0))&amp;"","")))</f>
        <v/>
      </c>
      <c r="AA40" s="43" t="str">
        <f>IFERROR(INDEX(Aarón!$Q:$Q,MATCH($C40,Aarón!$A:$A,0))&amp;"",IFERROR(INDEX(Rubit!$Q:$Q,MATCH($C40,Rubit!$A:$A,0))&amp;"",IFERROR(INDEX(Luis!$Q:$Q,MATCH($C40,Luis!$A:$A,0))&amp;"","")))</f>
        <v/>
      </c>
      <c r="AB40" s="43" t="str">
        <f>IFERROR(INDEX('Juan Carlos'!$Q:$Q,MATCH($C40,'Juan Carlos'!$A:$A,0))&amp;"","")</f>
        <v/>
      </c>
    </row>
    <row r="41" ht="30" customHeight="1" spans="1:28">
      <c r="A41" s="40"/>
      <c r="B41" s="41"/>
      <c r="C41" s="42" t="s">
        <v>221</v>
      </c>
      <c r="D41" s="42"/>
      <c r="E41" s="42" t="s">
        <v>60</v>
      </c>
      <c r="F41" s="42" t="s">
        <v>61</v>
      </c>
      <c r="G41" s="42" t="s">
        <v>62</v>
      </c>
      <c r="H41" s="42" t="s">
        <v>74</v>
      </c>
      <c r="I41" s="42" t="s">
        <v>64</v>
      </c>
      <c r="J41" s="43" t="str">
        <f>IFERROR(INDEX('Juan Carlos'!$P:$P,MATCH($C41,'Juan Carlos'!$A:$A,0))&amp;"","")</f>
        <v>Diseño finalizado</v>
      </c>
      <c r="K41" s="20" t="str">
        <f t="shared" si="0"/>
        <v>A</v>
      </c>
      <c r="L41" s="43" t="str">
        <f ca="1" t="shared" si="1"/>
        <v>Al día</v>
      </c>
      <c r="M41" s="42" t="s">
        <v>65</v>
      </c>
      <c r="N41" s="42" t="s">
        <v>65</v>
      </c>
      <c r="O41" s="42" t="s">
        <v>65</v>
      </c>
      <c r="P41" s="42" t="s">
        <v>75</v>
      </c>
      <c r="Q41" s="42" t="s">
        <v>68</v>
      </c>
      <c r="R41" s="42"/>
      <c r="S41" s="42" t="s">
        <v>222</v>
      </c>
      <c r="T41" s="42"/>
      <c r="U41" s="44" t="str">
        <f t="shared" si="2"/>
        <v/>
      </c>
      <c r="V41" s="23" t="s">
        <v>215</v>
      </c>
      <c r="W41" s="24"/>
      <c r="X41" s="45" t="str">
        <f ca="1" t="shared" si="3"/>
        <v/>
      </c>
      <c r="Y41" s="23" t="s">
        <v>223</v>
      </c>
      <c r="Z41" s="46" t="str">
        <f>IFERROR(INDEX(Aarón!$P:$P,MATCH($C41,Aarón!$A:$A,0))&amp;"",IFERROR(INDEX(Rubit!$P:$P,MATCH($C41,Rubit!$A:$A,0))&amp;"",IFERROR(INDEX(Luis!$P:$P,MATCH($C41,Luis!$A:$A,0))&amp;"","")))</f>
        <v/>
      </c>
      <c r="AA41" s="43" t="str">
        <f>IFERROR(INDEX(Aarón!$Q:$Q,MATCH($C41,Aarón!$A:$A,0))&amp;"",IFERROR(INDEX(Rubit!$Q:$Q,MATCH($C41,Rubit!$A:$A,0))&amp;"",IFERROR(INDEX(Luis!$Q:$Q,MATCH($C41,Luis!$A:$A,0))&amp;"","")))</f>
        <v/>
      </c>
      <c r="AB41" s="43" t="str">
        <f>IFERROR(INDEX('Juan Carlos'!$Q:$Q,MATCH($C41,'Juan Carlos'!$A:$A,0))&amp;"","")</f>
        <v/>
      </c>
    </row>
    <row r="42" ht="30" customHeight="1" spans="1:28">
      <c r="A42" s="40"/>
      <c r="B42" s="41"/>
      <c r="C42" s="42" t="s">
        <v>224</v>
      </c>
      <c r="D42" s="42"/>
      <c r="E42" s="42" t="s">
        <v>73</v>
      </c>
      <c r="F42" s="42" t="s">
        <v>61</v>
      </c>
      <c r="G42" s="42" t="s">
        <v>62</v>
      </c>
      <c r="H42" s="42" t="s">
        <v>63</v>
      </c>
      <c r="I42" s="42" t="s">
        <v>64</v>
      </c>
      <c r="J42" s="43" t="str">
        <f>IFERROR(INDEX('Juan Carlos'!$P:$P,MATCH($C42,'Juan Carlos'!$A:$A,0))&amp;"","")</f>
        <v/>
      </c>
      <c r="K42" s="20" t="str">
        <f t="shared" si="0"/>
        <v>A</v>
      </c>
      <c r="L42" s="43" t="str">
        <f ca="1" t="shared" si="1"/>
        <v>Al día</v>
      </c>
      <c r="M42" s="42" t="s">
        <v>65</v>
      </c>
      <c r="N42" s="42" t="s">
        <v>65</v>
      </c>
      <c r="O42" s="42" t="s">
        <v>65</v>
      </c>
      <c r="P42" s="42" t="s">
        <v>75</v>
      </c>
      <c r="Q42" s="42" t="s">
        <v>76</v>
      </c>
      <c r="R42" s="42"/>
      <c r="S42" s="42"/>
      <c r="T42" s="42"/>
      <c r="U42" s="44" t="str">
        <f t="shared" si="2"/>
        <v/>
      </c>
      <c r="V42" s="23" t="s">
        <v>225</v>
      </c>
      <c r="W42" s="24"/>
      <c r="X42" s="45" t="str">
        <f ca="1" t="shared" si="3"/>
        <v/>
      </c>
      <c r="Y42" s="23" t="s">
        <v>226</v>
      </c>
      <c r="Z42" s="46" t="str">
        <f>IFERROR(INDEX(Aarón!$P:$P,MATCH($C42,Aarón!$A:$A,0))&amp;"",IFERROR(INDEX(Rubit!$P:$P,MATCH($C42,Rubit!$A:$A,0))&amp;"",IFERROR(INDEX(Luis!$P:$P,MATCH($C42,Luis!$A:$A,0))&amp;"","")))</f>
        <v/>
      </c>
      <c r="AA42" s="43" t="str">
        <f>IFERROR(INDEX(Aarón!$Q:$Q,MATCH($C42,Aarón!$A:$A,0))&amp;"",IFERROR(INDEX(Rubit!$Q:$Q,MATCH($C42,Rubit!$A:$A,0))&amp;"",IFERROR(INDEX(Luis!$Q:$Q,MATCH($C42,Luis!$A:$A,0))&amp;"","")))</f>
        <v/>
      </c>
      <c r="AB42" s="43" t="str">
        <f>IFERROR(INDEX('Juan Carlos'!$Q:$Q,MATCH($C42,'Juan Carlos'!$A:$A,0))&amp;"","")</f>
        <v/>
      </c>
    </row>
    <row r="43" ht="30" customHeight="1" spans="1:28">
      <c r="A43" s="40"/>
      <c r="B43" s="41"/>
      <c r="C43" s="42" t="s">
        <v>227</v>
      </c>
      <c r="D43" s="42"/>
      <c r="E43" s="42" t="s">
        <v>60</v>
      </c>
      <c r="F43" s="42" t="s">
        <v>228</v>
      </c>
      <c r="G43" s="42" t="s">
        <v>62</v>
      </c>
      <c r="H43" s="42" t="s">
        <v>74</v>
      </c>
      <c r="I43" s="42" t="s">
        <v>64</v>
      </c>
      <c r="J43" s="43" t="str">
        <f>IFERROR(INDEX('Juan Carlos'!$P:$P,MATCH($C43,'Juan Carlos'!$A:$A,0))&amp;"","")</f>
        <v/>
      </c>
      <c r="K43" s="20" t="str">
        <f t="shared" si="0"/>
        <v>A</v>
      </c>
      <c r="L43" s="43" t="str">
        <f ca="1" t="shared" si="1"/>
        <v>Al día</v>
      </c>
      <c r="M43" s="42" t="s">
        <v>65</v>
      </c>
      <c r="N43" s="42" t="s">
        <v>65</v>
      </c>
      <c r="O43" s="42" t="s">
        <v>65</v>
      </c>
      <c r="P43" s="42" t="s">
        <v>75</v>
      </c>
      <c r="Q43" s="42" t="s">
        <v>68</v>
      </c>
      <c r="R43" s="42"/>
      <c r="S43" s="42"/>
      <c r="T43" s="42"/>
      <c r="U43" s="44" t="str">
        <f t="shared" si="2"/>
        <v/>
      </c>
      <c r="V43" s="23" t="s">
        <v>229</v>
      </c>
      <c r="W43" s="24"/>
      <c r="X43" s="45" t="str">
        <f ca="1" t="shared" si="3"/>
        <v/>
      </c>
      <c r="Y43" s="23" t="s">
        <v>230</v>
      </c>
      <c r="Z43" s="46" t="str">
        <f>IFERROR(INDEX(Aarón!$P:$P,MATCH($C43,Aarón!$A:$A,0))&amp;"",IFERROR(INDEX(Rubit!$P:$P,MATCH($C43,Rubit!$A:$A,0))&amp;"",IFERROR(INDEX(Luis!$P:$P,MATCH($C43,Luis!$A:$A,0))&amp;"","")))</f>
        <v/>
      </c>
      <c r="AA43" s="43" t="str">
        <f>IFERROR(INDEX(Aarón!$Q:$Q,MATCH($C43,Aarón!$A:$A,0))&amp;"",IFERROR(INDEX(Rubit!$Q:$Q,MATCH($C43,Rubit!$A:$A,0))&amp;"",IFERROR(INDEX(Luis!$Q:$Q,MATCH($C43,Luis!$A:$A,0))&amp;"","")))</f>
        <v/>
      </c>
      <c r="AB43" s="43" t="str">
        <f>IFERROR(INDEX('Juan Carlos'!$Q:$Q,MATCH($C43,'Juan Carlos'!$A:$A,0))&amp;"","")</f>
        <v/>
      </c>
    </row>
    <row r="44" ht="30" customHeight="1" spans="1:28">
      <c r="A44" s="40"/>
      <c r="B44" s="41"/>
      <c r="C44" s="42" t="s">
        <v>231</v>
      </c>
      <c r="D44" s="42"/>
      <c r="E44" s="42" t="s">
        <v>60</v>
      </c>
      <c r="F44" s="42" t="s">
        <v>61</v>
      </c>
      <c r="G44" s="42" t="s">
        <v>62</v>
      </c>
      <c r="H44" s="42" t="s">
        <v>63</v>
      </c>
      <c r="I44" s="42" t="s">
        <v>64</v>
      </c>
      <c r="J44" s="43" t="str">
        <f>IFERROR(INDEX('Juan Carlos'!$P:$P,MATCH($C44,'Juan Carlos'!$A:$A,0))&amp;"","")</f>
        <v/>
      </c>
      <c r="K44" s="20" t="str">
        <f t="shared" si="0"/>
        <v>A</v>
      </c>
      <c r="L44" s="43" t="str">
        <f ca="1" t="shared" si="1"/>
        <v>Al día</v>
      </c>
      <c r="M44" s="42" t="s">
        <v>65</v>
      </c>
      <c r="N44" s="42" t="s">
        <v>65</v>
      </c>
      <c r="O44" s="42" t="s">
        <v>65</v>
      </c>
      <c r="P44" s="42" t="s">
        <v>75</v>
      </c>
      <c r="Q44" s="42" t="s">
        <v>68</v>
      </c>
      <c r="R44" s="42"/>
      <c r="S44" s="42"/>
      <c r="T44" s="42"/>
      <c r="U44" s="44" t="str">
        <f t="shared" si="2"/>
        <v/>
      </c>
      <c r="V44" s="23" t="s">
        <v>215</v>
      </c>
      <c r="W44" s="24"/>
      <c r="X44" s="45" t="str">
        <f ca="1" t="shared" si="3"/>
        <v/>
      </c>
      <c r="Y44" s="23" t="s">
        <v>232</v>
      </c>
      <c r="Z44" s="46" t="str">
        <f>IFERROR(INDEX(Aarón!$P:$P,MATCH($C44,Aarón!$A:$A,0))&amp;"",IFERROR(INDEX(Rubit!$P:$P,MATCH($C44,Rubit!$A:$A,0))&amp;"",IFERROR(INDEX(Luis!$P:$P,MATCH($C44,Luis!$A:$A,0))&amp;"","")))</f>
        <v/>
      </c>
      <c r="AA44" s="43" t="str">
        <f>IFERROR(INDEX(Aarón!$Q:$Q,MATCH($C44,Aarón!$A:$A,0))&amp;"",IFERROR(INDEX(Rubit!$Q:$Q,MATCH($C44,Rubit!$A:$A,0))&amp;"",IFERROR(INDEX(Luis!$Q:$Q,MATCH($C44,Luis!$A:$A,0))&amp;"","")))</f>
        <v/>
      </c>
      <c r="AB44" s="43" t="str">
        <f>IFERROR(INDEX('Juan Carlos'!$Q:$Q,MATCH($C44,'Juan Carlos'!$A:$A,0))&amp;"","")</f>
        <v/>
      </c>
    </row>
    <row r="45" ht="30" customHeight="1" spans="1:28">
      <c r="A45" s="40"/>
      <c r="B45" s="41"/>
      <c r="C45" s="42" t="s">
        <v>233</v>
      </c>
      <c r="D45" s="42"/>
      <c r="E45" s="42" t="s">
        <v>60</v>
      </c>
      <c r="F45" s="42" t="s">
        <v>61</v>
      </c>
      <c r="G45" s="42" t="s">
        <v>62</v>
      </c>
      <c r="H45" s="42" t="s">
        <v>74</v>
      </c>
      <c r="I45" s="42" t="s">
        <v>64</v>
      </c>
      <c r="J45" s="43" t="str">
        <f>IFERROR(INDEX('Juan Carlos'!$P:$P,MATCH($C45,'Juan Carlos'!$A:$A,0))&amp;"","")</f>
        <v/>
      </c>
      <c r="K45" s="20" t="str">
        <f t="shared" si="0"/>
        <v>A</v>
      </c>
      <c r="L45" s="43" t="str">
        <f ca="1" t="shared" si="1"/>
        <v>Al día</v>
      </c>
      <c r="M45" s="42" t="s">
        <v>65</v>
      </c>
      <c r="N45" s="42" t="s">
        <v>65</v>
      </c>
      <c r="O45" s="42" t="s">
        <v>65</v>
      </c>
      <c r="P45" s="42" t="s">
        <v>75</v>
      </c>
      <c r="Q45" s="42" t="s">
        <v>68</v>
      </c>
      <c r="R45" s="42"/>
      <c r="S45" s="42"/>
      <c r="T45" s="42"/>
      <c r="U45" s="44" t="str">
        <f t="shared" si="2"/>
        <v/>
      </c>
      <c r="V45" s="23" t="s">
        <v>234</v>
      </c>
      <c r="W45" s="24"/>
      <c r="X45" s="45" t="str">
        <f ca="1" t="shared" si="3"/>
        <v/>
      </c>
      <c r="Y45" s="23" t="s">
        <v>235</v>
      </c>
      <c r="Z45" s="46" t="str">
        <f>IFERROR(INDEX(Aarón!$P:$P,MATCH($C45,Aarón!$A:$A,0))&amp;"",IFERROR(INDEX(Rubit!$P:$P,MATCH($C45,Rubit!$A:$A,0))&amp;"",IFERROR(INDEX(Luis!$P:$P,MATCH($C45,Luis!$A:$A,0))&amp;"","")))</f>
        <v/>
      </c>
      <c r="AA45" s="43" t="str">
        <f>IFERROR(INDEX(Aarón!$Q:$Q,MATCH($C45,Aarón!$A:$A,0))&amp;"",IFERROR(INDEX(Rubit!$Q:$Q,MATCH($C45,Rubit!$A:$A,0))&amp;"",IFERROR(INDEX(Luis!$Q:$Q,MATCH($C45,Luis!$A:$A,0))&amp;"","")))</f>
        <v/>
      </c>
      <c r="AB45" s="43" t="str">
        <f>IFERROR(INDEX('Juan Carlos'!$Q:$Q,MATCH($C45,'Juan Carlos'!$A:$A,0))&amp;"","")</f>
        <v/>
      </c>
    </row>
    <row r="46" ht="30" customHeight="1" spans="1:28">
      <c r="A46" s="40"/>
      <c r="B46" s="41"/>
      <c r="C46" s="42" t="s">
        <v>236</v>
      </c>
      <c r="D46" s="42"/>
      <c r="E46" s="42" t="s">
        <v>60</v>
      </c>
      <c r="F46" s="42" t="s">
        <v>61</v>
      </c>
      <c r="G46" s="42" t="s">
        <v>62</v>
      </c>
      <c r="H46" s="42" t="s">
        <v>74</v>
      </c>
      <c r="I46" s="42" t="s">
        <v>64</v>
      </c>
      <c r="J46" s="43" t="str">
        <f>IFERROR(INDEX('Juan Carlos'!$P:$P,MATCH($C46,'Juan Carlos'!$A:$A,0))&amp;"","")</f>
        <v/>
      </c>
      <c r="K46" s="20" t="str">
        <f t="shared" si="0"/>
        <v>A</v>
      </c>
      <c r="L46" s="43" t="str">
        <f ca="1" t="shared" si="1"/>
        <v>Al día</v>
      </c>
      <c r="M46" s="42" t="s">
        <v>65</v>
      </c>
      <c r="N46" s="42" t="s">
        <v>65</v>
      </c>
      <c r="O46" s="42" t="s">
        <v>65</v>
      </c>
      <c r="P46" s="42" t="s">
        <v>75</v>
      </c>
      <c r="Q46" s="42" t="s">
        <v>68</v>
      </c>
      <c r="R46" s="42"/>
      <c r="S46" s="42"/>
      <c r="T46" s="42"/>
      <c r="U46" s="44" t="str">
        <f t="shared" si="2"/>
        <v/>
      </c>
      <c r="V46" s="23" t="s">
        <v>215</v>
      </c>
      <c r="W46" s="24"/>
      <c r="X46" s="45" t="str">
        <f ca="1" t="shared" si="3"/>
        <v/>
      </c>
      <c r="Y46" s="23" t="s">
        <v>237</v>
      </c>
      <c r="Z46" s="46" t="str">
        <f>IFERROR(INDEX(Aarón!$P:$P,MATCH($C46,Aarón!$A:$A,0))&amp;"",IFERROR(INDEX(Rubit!$P:$P,MATCH($C46,Rubit!$A:$A,0))&amp;"",IFERROR(INDEX(Luis!$P:$P,MATCH($C46,Luis!$A:$A,0))&amp;"","")))</f>
        <v/>
      </c>
      <c r="AA46" s="43" t="str">
        <f>IFERROR(INDEX(Aarón!$Q:$Q,MATCH($C46,Aarón!$A:$A,0))&amp;"",IFERROR(INDEX(Rubit!$Q:$Q,MATCH($C46,Rubit!$A:$A,0))&amp;"",IFERROR(INDEX(Luis!$Q:$Q,MATCH($C46,Luis!$A:$A,0))&amp;"","")))</f>
        <v/>
      </c>
      <c r="AB46" s="43" t="str">
        <f>IFERROR(INDEX('Juan Carlos'!$Q:$Q,MATCH($C46,'Juan Carlos'!$A:$A,0))&amp;"","")</f>
        <v/>
      </c>
    </row>
    <row r="47" ht="30" customHeight="1" spans="1:28">
      <c r="A47" s="40"/>
      <c r="B47" s="41"/>
      <c r="C47" s="42" t="s">
        <v>238</v>
      </c>
      <c r="D47" s="42"/>
      <c r="E47" s="42" t="s">
        <v>60</v>
      </c>
      <c r="F47" s="42" t="s">
        <v>61</v>
      </c>
      <c r="G47" s="42" t="s">
        <v>62</v>
      </c>
      <c r="H47" s="42" t="s">
        <v>63</v>
      </c>
      <c r="I47" s="42" t="s">
        <v>64</v>
      </c>
      <c r="J47" s="43" t="str">
        <f>IFERROR(INDEX('Juan Carlos'!$P:$P,MATCH($C47,'Juan Carlos'!$A:$A,0))&amp;"","")</f>
        <v/>
      </c>
      <c r="K47" s="20" t="str">
        <f t="shared" si="0"/>
        <v>A</v>
      </c>
      <c r="L47" s="43" t="str">
        <f ca="1" t="shared" si="1"/>
        <v>Al día</v>
      </c>
      <c r="M47" s="42" t="s">
        <v>65</v>
      </c>
      <c r="N47" s="42" t="s">
        <v>65</v>
      </c>
      <c r="O47" s="42" t="s">
        <v>65</v>
      </c>
      <c r="P47" s="42" t="s">
        <v>75</v>
      </c>
      <c r="Q47" s="42" t="s">
        <v>68</v>
      </c>
      <c r="R47" s="42"/>
      <c r="S47" s="42"/>
      <c r="T47" s="42"/>
      <c r="U47" s="44" t="str">
        <f t="shared" si="2"/>
        <v/>
      </c>
      <c r="V47" s="23" t="s">
        <v>215</v>
      </c>
      <c r="W47" s="24"/>
      <c r="X47" s="45" t="str">
        <f ca="1" t="shared" si="3"/>
        <v/>
      </c>
      <c r="Y47" s="23" t="s">
        <v>239</v>
      </c>
      <c r="Z47" s="46" t="str">
        <f>IFERROR(INDEX(Aarón!$P:$P,MATCH($C47,Aarón!$A:$A,0))&amp;"",IFERROR(INDEX(Rubit!$P:$P,MATCH($C47,Rubit!$A:$A,0))&amp;"",IFERROR(INDEX(Luis!$P:$P,MATCH($C47,Luis!$A:$A,0))&amp;"","")))</f>
        <v/>
      </c>
      <c r="AA47" s="43" t="str">
        <f>IFERROR(INDEX(Aarón!$Q:$Q,MATCH($C47,Aarón!$A:$A,0))&amp;"",IFERROR(INDEX(Rubit!$Q:$Q,MATCH($C47,Rubit!$A:$A,0))&amp;"",IFERROR(INDEX(Luis!$Q:$Q,MATCH($C47,Luis!$A:$A,0))&amp;"","")))</f>
        <v/>
      </c>
      <c r="AB47" s="43" t="str">
        <f>IFERROR(INDEX('Juan Carlos'!$Q:$Q,MATCH($C47,'Juan Carlos'!$A:$A,0))&amp;"","")</f>
        <v/>
      </c>
    </row>
    <row r="48" ht="30" customHeight="1" spans="1:28">
      <c r="A48" s="40"/>
      <c r="B48" s="41"/>
      <c r="C48" s="42" t="s">
        <v>240</v>
      </c>
      <c r="D48" s="42"/>
      <c r="E48" s="42" t="s">
        <v>60</v>
      </c>
      <c r="F48" s="42" t="s">
        <v>61</v>
      </c>
      <c r="G48" s="42" t="s">
        <v>62</v>
      </c>
      <c r="H48" s="42" t="s">
        <v>63</v>
      </c>
      <c r="I48" s="42" t="s">
        <v>64</v>
      </c>
      <c r="J48" s="43" t="str">
        <f>IFERROR(INDEX('Juan Carlos'!$P:$P,MATCH($C48,'Juan Carlos'!$A:$A,0))&amp;"","")</f>
        <v/>
      </c>
      <c r="K48" s="20" t="str">
        <f t="shared" si="0"/>
        <v>A</v>
      </c>
      <c r="L48" s="43" t="str">
        <f ca="1" t="shared" si="1"/>
        <v>Al día</v>
      </c>
      <c r="M48" s="42" t="s">
        <v>65</v>
      </c>
      <c r="N48" s="42" t="s">
        <v>65</v>
      </c>
      <c r="O48" s="42" t="s">
        <v>65</v>
      </c>
      <c r="P48" s="42" t="s">
        <v>75</v>
      </c>
      <c r="Q48" s="42" t="s">
        <v>68</v>
      </c>
      <c r="R48" s="42"/>
      <c r="S48" s="42"/>
      <c r="T48" s="42"/>
      <c r="U48" s="44" t="str">
        <f t="shared" si="2"/>
        <v/>
      </c>
      <c r="V48" s="23" t="s">
        <v>215</v>
      </c>
      <c r="W48" s="24"/>
      <c r="X48" s="45" t="str">
        <f ca="1" t="shared" si="3"/>
        <v/>
      </c>
      <c r="Y48" s="23" t="s">
        <v>241</v>
      </c>
      <c r="Z48" s="46" t="str">
        <f>IFERROR(INDEX(Aarón!$P:$P,MATCH($C48,Aarón!$A:$A,0))&amp;"",IFERROR(INDEX(Rubit!$P:$P,MATCH($C48,Rubit!$A:$A,0))&amp;"",IFERROR(INDEX(Luis!$P:$P,MATCH($C48,Luis!$A:$A,0))&amp;"","")))</f>
        <v/>
      </c>
      <c r="AA48" s="43" t="str">
        <f>IFERROR(INDEX(Aarón!$Q:$Q,MATCH($C48,Aarón!$A:$A,0))&amp;"",IFERROR(INDEX(Rubit!$Q:$Q,MATCH($C48,Rubit!$A:$A,0))&amp;"",IFERROR(INDEX(Luis!$Q:$Q,MATCH($C48,Luis!$A:$A,0))&amp;"","")))</f>
        <v/>
      </c>
      <c r="AB48" s="43" t="str">
        <f>IFERROR(INDEX('Juan Carlos'!$Q:$Q,MATCH($C48,'Juan Carlos'!$A:$A,0))&amp;"","")</f>
        <v/>
      </c>
    </row>
    <row r="49" ht="30" customHeight="1" spans="1:28">
      <c r="A49" s="40"/>
      <c r="B49" s="41"/>
      <c r="C49" s="42" t="s">
        <v>242</v>
      </c>
      <c r="D49" s="42"/>
      <c r="E49" s="42" t="s">
        <v>73</v>
      </c>
      <c r="F49" s="42" t="s">
        <v>61</v>
      </c>
      <c r="G49" s="42" t="s">
        <v>62</v>
      </c>
      <c r="H49" s="42" t="s">
        <v>74</v>
      </c>
      <c r="I49" s="42" t="s">
        <v>64</v>
      </c>
      <c r="J49" s="43" t="str">
        <f>IFERROR(INDEX('Juan Carlos'!$P:$P,MATCH($C49,'Juan Carlos'!$A:$A,0))&amp;"","")</f>
        <v/>
      </c>
      <c r="K49" s="20" t="str">
        <f t="shared" si="0"/>
        <v>A</v>
      </c>
      <c r="L49" s="43" t="str">
        <f ca="1" t="shared" si="1"/>
        <v>Al día</v>
      </c>
      <c r="M49" s="42" t="s">
        <v>65</v>
      </c>
      <c r="N49" s="42" t="s">
        <v>65</v>
      </c>
      <c r="O49" s="42" t="s">
        <v>65</v>
      </c>
      <c r="P49" s="42" t="s">
        <v>75</v>
      </c>
      <c r="Q49" s="42" t="s">
        <v>76</v>
      </c>
      <c r="R49" s="42"/>
      <c r="S49" s="42"/>
      <c r="T49" s="42"/>
      <c r="U49" s="44" t="str">
        <f t="shared" si="2"/>
        <v/>
      </c>
      <c r="V49" s="23" t="s">
        <v>215</v>
      </c>
      <c r="W49" s="24"/>
      <c r="X49" s="45" t="str">
        <f ca="1" t="shared" si="3"/>
        <v/>
      </c>
      <c r="Y49" s="23" t="s">
        <v>243</v>
      </c>
      <c r="Z49" s="46" t="str">
        <f>IFERROR(INDEX(Aarón!$P:$P,MATCH($C49,Aarón!$A:$A,0))&amp;"",IFERROR(INDEX(Rubit!$P:$P,MATCH($C49,Rubit!$A:$A,0))&amp;"",IFERROR(INDEX(Luis!$P:$P,MATCH($C49,Luis!$A:$A,0))&amp;"","")))</f>
        <v/>
      </c>
      <c r="AA49" s="43" t="str">
        <f>IFERROR(INDEX(Aarón!$Q:$Q,MATCH($C49,Aarón!$A:$A,0))&amp;"",IFERROR(INDEX(Rubit!$Q:$Q,MATCH($C49,Rubit!$A:$A,0))&amp;"",IFERROR(INDEX(Luis!$Q:$Q,MATCH($C49,Luis!$A:$A,0))&amp;"","")))</f>
        <v/>
      </c>
      <c r="AB49" s="43" t="str">
        <f>IFERROR(INDEX('Juan Carlos'!$Q:$Q,MATCH($C49,'Juan Carlos'!$A:$A,0))&amp;"","")</f>
        <v/>
      </c>
    </row>
    <row r="50" ht="30" customHeight="1" spans="1:28">
      <c r="A50" s="40"/>
      <c r="B50" s="41"/>
      <c r="C50" s="42" t="s">
        <v>244</v>
      </c>
      <c r="D50" s="42"/>
      <c r="E50" s="42" t="s">
        <v>60</v>
      </c>
      <c r="F50" s="42" t="s">
        <v>61</v>
      </c>
      <c r="G50" s="42" t="s">
        <v>92</v>
      </c>
      <c r="H50" s="42" t="s">
        <v>74</v>
      </c>
      <c r="I50" s="42" t="s">
        <v>64</v>
      </c>
      <c r="J50" s="43" t="str">
        <f>IFERROR(INDEX('Juan Carlos'!$P:$P,MATCH($C50,'Juan Carlos'!$A:$A,0))&amp;"","")</f>
        <v/>
      </c>
      <c r="K50" s="20" t="str">
        <f t="shared" si="0"/>
        <v>B</v>
      </c>
      <c r="L50" s="43" t="str">
        <f ca="1" t="shared" si="1"/>
        <v>Congelado — mensaje cada 15 días</v>
      </c>
      <c r="M50" s="42" t="s">
        <v>65</v>
      </c>
      <c r="N50" s="42" t="s">
        <v>65</v>
      </c>
      <c r="O50" s="42" t="s">
        <v>66</v>
      </c>
      <c r="P50" s="42" t="s">
        <v>87</v>
      </c>
      <c r="Q50" s="42" t="s">
        <v>76</v>
      </c>
      <c r="R50" s="42"/>
      <c r="S50" s="42"/>
      <c r="T50" s="42"/>
      <c r="U50" s="44" t="str">
        <f t="shared" si="2"/>
        <v/>
      </c>
      <c r="V50" s="23" t="s">
        <v>215</v>
      </c>
      <c r="W50" s="24"/>
      <c r="X50" s="45" t="str">
        <f ca="1" t="shared" si="3"/>
        <v/>
      </c>
      <c r="Y50" s="23" t="s">
        <v>245</v>
      </c>
      <c r="Z50" s="46" t="str">
        <f>IFERROR(INDEX(Aarón!$P:$P,MATCH($C50,Aarón!$A:$A,0))&amp;"",IFERROR(INDEX(Rubit!$P:$P,MATCH($C50,Rubit!$A:$A,0))&amp;"",IFERROR(INDEX(Luis!$P:$P,MATCH($C50,Luis!$A:$A,0))&amp;"","")))</f>
        <v/>
      </c>
      <c r="AA50" s="43" t="str">
        <f>IFERROR(INDEX(Aarón!$Q:$Q,MATCH($C50,Aarón!$A:$A,0))&amp;"",IFERROR(INDEX(Rubit!$Q:$Q,MATCH($C50,Rubit!$A:$A,0))&amp;"",IFERROR(INDEX(Luis!$Q:$Q,MATCH($C50,Luis!$A:$A,0))&amp;"","")))</f>
        <v/>
      </c>
      <c r="AB50" s="43" t="str">
        <f>IFERROR(INDEX('Juan Carlos'!$Q:$Q,MATCH($C50,'Juan Carlos'!$A:$A,0))&amp;"","")</f>
        <v/>
      </c>
    </row>
    <row r="51" ht="30" customHeight="1" spans="1:28">
      <c r="A51" s="40"/>
      <c r="B51" s="41"/>
      <c r="C51" s="42" t="s">
        <v>246</v>
      </c>
      <c r="D51" s="42"/>
      <c r="E51" s="42" t="s">
        <v>60</v>
      </c>
      <c r="F51" s="42" t="s">
        <v>61</v>
      </c>
      <c r="G51" s="42" t="s">
        <v>92</v>
      </c>
      <c r="H51" s="42" t="s">
        <v>74</v>
      </c>
      <c r="I51" s="42" t="s">
        <v>64</v>
      </c>
      <c r="J51" s="43" t="str">
        <f>IFERROR(INDEX('Juan Carlos'!$P:$P,MATCH($C51,'Juan Carlos'!$A:$A,0))&amp;"","")</f>
        <v/>
      </c>
      <c r="K51" s="20" t="str">
        <f t="shared" si="0"/>
        <v>B</v>
      </c>
      <c r="L51" s="43" t="str">
        <f ca="1" t="shared" si="1"/>
        <v>Congelado — mensaje cada 15 días</v>
      </c>
      <c r="M51" s="42" t="s">
        <v>65</v>
      </c>
      <c r="N51" s="42" t="s">
        <v>66</v>
      </c>
      <c r="O51" s="42" t="s">
        <v>66</v>
      </c>
      <c r="P51" s="42" t="s">
        <v>87</v>
      </c>
      <c r="Q51" s="42" t="s">
        <v>76</v>
      </c>
      <c r="R51" s="42"/>
      <c r="S51" s="42"/>
      <c r="T51" s="42"/>
      <c r="U51" s="44" t="str">
        <f t="shared" si="2"/>
        <v/>
      </c>
      <c r="V51" s="23" t="s">
        <v>215</v>
      </c>
      <c r="W51" s="24"/>
      <c r="X51" s="45" t="str">
        <f ca="1" t="shared" si="3"/>
        <v/>
      </c>
      <c r="Y51" s="23" t="s">
        <v>247</v>
      </c>
      <c r="Z51" s="46" t="str">
        <f>IFERROR(INDEX(Aarón!$P:$P,MATCH($C51,Aarón!$A:$A,0))&amp;"",IFERROR(INDEX(Rubit!$P:$P,MATCH($C51,Rubit!$A:$A,0))&amp;"",IFERROR(INDEX(Luis!$P:$P,MATCH($C51,Luis!$A:$A,0))&amp;"","")))</f>
        <v/>
      </c>
      <c r="AA51" s="43" t="str">
        <f>IFERROR(INDEX(Aarón!$Q:$Q,MATCH($C51,Aarón!$A:$A,0))&amp;"",IFERROR(INDEX(Rubit!$Q:$Q,MATCH($C51,Rubit!$A:$A,0))&amp;"",IFERROR(INDEX(Luis!$Q:$Q,MATCH($C51,Luis!$A:$A,0))&amp;"","")))</f>
        <v/>
      </c>
      <c r="AB51" s="43" t="str">
        <f>IFERROR(INDEX('Juan Carlos'!$Q:$Q,MATCH($C51,'Juan Carlos'!$A:$A,0))&amp;"","")</f>
        <v/>
      </c>
    </row>
    <row r="52" ht="30" customHeight="1" spans="1:28">
      <c r="A52" s="40"/>
      <c r="B52" s="41"/>
      <c r="C52" s="42"/>
      <c r="D52" s="42"/>
      <c r="E52" s="42"/>
      <c r="F52" s="42"/>
      <c r="G52" s="42"/>
      <c r="H52" s="42"/>
      <c r="I52" s="42"/>
      <c r="J52" s="43" t="str">
        <f>IFERROR(INDEX('Juan Carlos'!$P:$P,MATCH($C52,'Juan Carlos'!$A:$A,0))&amp;"","")</f>
        <v/>
      </c>
      <c r="K52" s="20" t="str">
        <f t="shared" si="0"/>
        <v/>
      </c>
      <c r="L52" s="43" t="str">
        <f ca="1" t="shared" si="1"/>
        <v/>
      </c>
      <c r="M52" s="42"/>
      <c r="N52" s="42"/>
      <c r="O52" s="42"/>
      <c r="P52" s="42"/>
      <c r="Q52" s="42"/>
      <c r="R52" s="42"/>
      <c r="S52" s="42"/>
      <c r="T52" s="42"/>
      <c r="U52" s="44" t="str">
        <f t="shared" si="2"/>
        <v/>
      </c>
      <c r="V52" s="23"/>
      <c r="W52" s="24"/>
      <c r="X52" s="45" t="str">
        <f ca="1" t="shared" si="3"/>
        <v/>
      </c>
      <c r="Y52" s="23"/>
      <c r="Z52" s="46" t="str">
        <f>IFERROR(INDEX(Aarón!$P:$P,MATCH($C52,Aarón!$A:$A,0))&amp;"",IFERROR(INDEX(Rubit!$P:$P,MATCH($C52,Rubit!$A:$A,0))&amp;"",IFERROR(INDEX(Luis!$P:$P,MATCH($C52,Luis!$A:$A,0))&amp;"","")))</f>
        <v/>
      </c>
      <c r="AA52" s="43" t="str">
        <f>IFERROR(INDEX(Aarón!$Q:$Q,MATCH($C52,Aarón!$A:$A,0))&amp;"",IFERROR(INDEX(Rubit!$Q:$Q,MATCH($C52,Rubit!$A:$A,0))&amp;"",IFERROR(INDEX(Luis!$Q:$Q,MATCH($C52,Luis!$A:$A,0))&amp;"","")))</f>
        <v/>
      </c>
      <c r="AB52" s="43" t="str">
        <f>IFERROR(INDEX('Juan Carlos'!$Q:$Q,MATCH($C52,'Juan Carlos'!$A:$A,0))&amp;"","")</f>
        <v/>
      </c>
    </row>
    <row r="53" ht="30" customHeight="1" spans="1:28">
      <c r="A53" s="40"/>
      <c r="B53" s="41"/>
      <c r="C53" s="42"/>
      <c r="D53" s="42"/>
      <c r="E53" s="42"/>
      <c r="F53" s="42"/>
      <c r="G53" s="42"/>
      <c r="H53" s="42"/>
      <c r="I53" s="42"/>
      <c r="J53" s="43" t="str">
        <f>IFERROR(INDEX('Juan Carlos'!$P:$P,MATCH($C53,'Juan Carlos'!$A:$A,0))&amp;"","")</f>
        <v/>
      </c>
      <c r="K53" s="20" t="str">
        <f t="shared" si="0"/>
        <v/>
      </c>
      <c r="L53" s="43" t="str">
        <f ca="1" t="shared" si="1"/>
        <v/>
      </c>
      <c r="M53" s="42"/>
      <c r="N53" s="42"/>
      <c r="O53" s="42"/>
      <c r="P53" s="42"/>
      <c r="Q53" s="42"/>
      <c r="R53" s="42"/>
      <c r="S53" s="42"/>
      <c r="T53" s="42"/>
      <c r="U53" s="44" t="str">
        <f t="shared" si="2"/>
        <v/>
      </c>
      <c r="V53" s="23"/>
      <c r="W53" s="24"/>
      <c r="X53" s="45" t="str">
        <f ca="1" t="shared" si="3"/>
        <v/>
      </c>
      <c r="Y53" s="23"/>
      <c r="Z53" s="46" t="str">
        <f>IFERROR(INDEX(Aarón!$P:$P,MATCH($C53,Aarón!$A:$A,0))&amp;"",IFERROR(INDEX(Rubit!$P:$P,MATCH($C53,Rubit!$A:$A,0))&amp;"",IFERROR(INDEX(Luis!$P:$P,MATCH($C53,Luis!$A:$A,0))&amp;"","")))</f>
        <v/>
      </c>
      <c r="AA53" s="43" t="str">
        <f>IFERROR(INDEX(Aarón!$Q:$Q,MATCH($C53,Aarón!$A:$A,0))&amp;"",IFERROR(INDEX(Rubit!$Q:$Q,MATCH($C53,Rubit!$A:$A,0))&amp;"",IFERROR(INDEX(Luis!$Q:$Q,MATCH($C53,Luis!$A:$A,0))&amp;"","")))</f>
        <v/>
      </c>
      <c r="AB53" s="43" t="str">
        <f>IFERROR(INDEX('Juan Carlos'!$Q:$Q,MATCH($C53,'Juan Carlos'!$A:$A,0))&amp;"","")</f>
        <v/>
      </c>
    </row>
    <row r="54" ht="30" customHeight="1" spans="1:28">
      <c r="A54" s="40"/>
      <c r="B54" s="41"/>
      <c r="C54" s="42"/>
      <c r="D54" s="42"/>
      <c r="E54" s="42"/>
      <c r="F54" s="42"/>
      <c r="G54" s="42"/>
      <c r="H54" s="42"/>
      <c r="I54" s="42"/>
      <c r="J54" s="43" t="str">
        <f>IFERROR(INDEX('Juan Carlos'!$P:$P,MATCH($C54,'Juan Carlos'!$A:$A,0))&amp;"","")</f>
        <v/>
      </c>
      <c r="K54" s="20" t="str">
        <f t="shared" si="0"/>
        <v/>
      </c>
      <c r="L54" s="43" t="str">
        <f ca="1" t="shared" si="1"/>
        <v/>
      </c>
      <c r="M54" s="42"/>
      <c r="N54" s="42"/>
      <c r="O54" s="42"/>
      <c r="P54" s="42"/>
      <c r="Q54" s="42"/>
      <c r="R54" s="42"/>
      <c r="S54" s="42"/>
      <c r="T54" s="42"/>
      <c r="U54" s="44" t="str">
        <f t="shared" si="2"/>
        <v/>
      </c>
      <c r="V54" s="23"/>
      <c r="W54" s="24"/>
      <c r="X54" s="45" t="str">
        <f ca="1" t="shared" si="3"/>
        <v/>
      </c>
      <c r="Y54" s="23"/>
      <c r="Z54" s="46" t="str">
        <f>IFERROR(INDEX(Aarón!$P:$P,MATCH($C54,Aarón!$A:$A,0))&amp;"",IFERROR(INDEX(Rubit!$P:$P,MATCH($C54,Rubit!$A:$A,0))&amp;"",IFERROR(INDEX(Luis!$P:$P,MATCH($C54,Luis!$A:$A,0))&amp;"","")))</f>
        <v/>
      </c>
      <c r="AA54" s="43" t="str">
        <f>IFERROR(INDEX(Aarón!$Q:$Q,MATCH($C54,Aarón!$A:$A,0))&amp;"",IFERROR(INDEX(Rubit!$Q:$Q,MATCH($C54,Rubit!$A:$A,0))&amp;"",IFERROR(INDEX(Luis!$Q:$Q,MATCH($C54,Luis!$A:$A,0))&amp;"","")))</f>
        <v/>
      </c>
      <c r="AB54" s="43" t="str">
        <f>IFERROR(INDEX('Juan Carlos'!$Q:$Q,MATCH($C54,'Juan Carlos'!$A:$A,0))&amp;"","")</f>
        <v/>
      </c>
    </row>
    <row r="55" ht="30" customHeight="1" spans="1:28">
      <c r="A55" s="40"/>
      <c r="B55" s="41"/>
      <c r="C55" s="42"/>
      <c r="D55" s="42"/>
      <c r="E55" s="42"/>
      <c r="F55" s="42"/>
      <c r="G55" s="42"/>
      <c r="H55" s="42"/>
      <c r="I55" s="42"/>
      <c r="J55" s="43" t="str">
        <f>IFERROR(INDEX('Juan Carlos'!$P:$P,MATCH($C55,'Juan Carlos'!$A:$A,0))&amp;"","")</f>
        <v/>
      </c>
      <c r="K55" s="20" t="str">
        <f t="shared" si="0"/>
        <v/>
      </c>
      <c r="L55" s="43" t="str">
        <f ca="1" t="shared" si="1"/>
        <v/>
      </c>
      <c r="M55" s="42"/>
      <c r="N55" s="42"/>
      <c r="O55" s="42"/>
      <c r="P55" s="42"/>
      <c r="Q55" s="42"/>
      <c r="R55" s="42"/>
      <c r="S55" s="42"/>
      <c r="T55" s="42"/>
      <c r="U55" s="44" t="str">
        <f t="shared" si="2"/>
        <v/>
      </c>
      <c r="V55" s="23"/>
      <c r="W55" s="24"/>
      <c r="X55" s="45" t="str">
        <f ca="1" t="shared" si="3"/>
        <v/>
      </c>
      <c r="Y55" s="23"/>
      <c r="Z55" s="46" t="str">
        <f>IFERROR(INDEX(Aarón!$P:$P,MATCH($C55,Aarón!$A:$A,0))&amp;"",IFERROR(INDEX(Rubit!$P:$P,MATCH($C55,Rubit!$A:$A,0))&amp;"",IFERROR(INDEX(Luis!$P:$P,MATCH($C55,Luis!$A:$A,0))&amp;"","")))</f>
        <v/>
      </c>
      <c r="AA55" s="43" t="str">
        <f>IFERROR(INDEX(Aarón!$Q:$Q,MATCH($C55,Aarón!$A:$A,0))&amp;"",IFERROR(INDEX(Rubit!$Q:$Q,MATCH($C55,Rubit!$A:$A,0))&amp;"",IFERROR(INDEX(Luis!$Q:$Q,MATCH($C55,Luis!$A:$A,0))&amp;"","")))</f>
        <v/>
      </c>
      <c r="AB55" s="43" t="str">
        <f>IFERROR(INDEX('Juan Carlos'!$Q:$Q,MATCH($C55,'Juan Carlos'!$A:$A,0))&amp;"","")</f>
        <v/>
      </c>
    </row>
    <row r="56" ht="30" customHeight="1" spans="1:28">
      <c r="A56" s="40"/>
      <c r="B56" s="41"/>
      <c r="C56" s="42"/>
      <c r="D56" s="42"/>
      <c r="E56" s="42"/>
      <c r="F56" s="42"/>
      <c r="G56" s="42"/>
      <c r="H56" s="42"/>
      <c r="I56" s="42"/>
      <c r="J56" s="43" t="str">
        <f>IFERROR(INDEX('Juan Carlos'!$P:$P,MATCH($C56,'Juan Carlos'!$A:$A,0))&amp;"","")</f>
        <v/>
      </c>
      <c r="K56" s="20" t="str">
        <f t="shared" si="0"/>
        <v/>
      </c>
      <c r="L56" s="43" t="str">
        <f ca="1" t="shared" si="1"/>
        <v/>
      </c>
      <c r="M56" s="42"/>
      <c r="N56" s="42"/>
      <c r="O56" s="42"/>
      <c r="P56" s="42"/>
      <c r="Q56" s="42"/>
      <c r="R56" s="42"/>
      <c r="S56" s="42"/>
      <c r="T56" s="42"/>
      <c r="U56" s="44" t="str">
        <f t="shared" si="2"/>
        <v/>
      </c>
      <c r="V56" s="23"/>
      <c r="W56" s="24"/>
      <c r="X56" s="45" t="str">
        <f ca="1" t="shared" si="3"/>
        <v/>
      </c>
      <c r="Y56" s="23"/>
      <c r="Z56" s="46" t="str">
        <f>IFERROR(INDEX(Aarón!$P:$P,MATCH($C56,Aarón!$A:$A,0))&amp;"",IFERROR(INDEX(Rubit!$P:$P,MATCH($C56,Rubit!$A:$A,0))&amp;"",IFERROR(INDEX(Luis!$P:$P,MATCH($C56,Luis!$A:$A,0))&amp;"","")))</f>
        <v/>
      </c>
      <c r="AA56" s="43" t="str">
        <f>IFERROR(INDEX(Aarón!$Q:$Q,MATCH($C56,Aarón!$A:$A,0))&amp;"",IFERROR(INDEX(Rubit!$Q:$Q,MATCH($C56,Rubit!$A:$A,0))&amp;"",IFERROR(INDEX(Luis!$Q:$Q,MATCH($C56,Luis!$A:$A,0))&amp;"","")))</f>
        <v/>
      </c>
      <c r="AB56" s="43" t="str">
        <f>IFERROR(INDEX('Juan Carlos'!$Q:$Q,MATCH($C56,'Juan Carlos'!$A:$A,0))&amp;"","")</f>
        <v/>
      </c>
    </row>
    <row r="57" ht="30" customHeight="1" spans="1:28">
      <c r="A57" s="40"/>
      <c r="B57" s="41"/>
      <c r="C57" s="42"/>
      <c r="D57" s="42"/>
      <c r="E57" s="42"/>
      <c r="F57" s="42"/>
      <c r="G57" s="42"/>
      <c r="H57" s="42"/>
      <c r="I57" s="42"/>
      <c r="J57" s="43" t="str">
        <f>IFERROR(INDEX('Juan Carlos'!$P:$P,MATCH($C57,'Juan Carlos'!$A:$A,0))&amp;"","")</f>
        <v/>
      </c>
      <c r="K57" s="20" t="str">
        <f t="shared" si="0"/>
        <v/>
      </c>
      <c r="L57" s="43" t="str">
        <f ca="1" t="shared" si="1"/>
        <v/>
      </c>
      <c r="M57" s="42"/>
      <c r="N57" s="42"/>
      <c r="O57" s="42"/>
      <c r="P57" s="42"/>
      <c r="Q57" s="42"/>
      <c r="R57" s="42"/>
      <c r="S57" s="42"/>
      <c r="T57" s="42"/>
      <c r="U57" s="44" t="str">
        <f t="shared" si="2"/>
        <v/>
      </c>
      <c r="V57" s="23"/>
      <c r="W57" s="24"/>
      <c r="X57" s="45" t="str">
        <f ca="1" t="shared" si="3"/>
        <v/>
      </c>
      <c r="Y57" s="23"/>
      <c r="Z57" s="46" t="str">
        <f>IFERROR(INDEX(Aarón!$P:$P,MATCH($C57,Aarón!$A:$A,0))&amp;"",IFERROR(INDEX(Rubit!$P:$P,MATCH($C57,Rubit!$A:$A,0))&amp;"",IFERROR(INDEX(Luis!$P:$P,MATCH($C57,Luis!$A:$A,0))&amp;"","")))</f>
        <v/>
      </c>
      <c r="AA57" s="43" t="str">
        <f>IFERROR(INDEX(Aarón!$Q:$Q,MATCH($C57,Aarón!$A:$A,0))&amp;"",IFERROR(INDEX(Rubit!$Q:$Q,MATCH($C57,Rubit!$A:$A,0))&amp;"",IFERROR(INDEX(Luis!$Q:$Q,MATCH($C57,Luis!$A:$A,0))&amp;"","")))</f>
        <v/>
      </c>
      <c r="AB57" s="43" t="str">
        <f>IFERROR(INDEX('Juan Carlos'!$Q:$Q,MATCH($C57,'Juan Carlos'!$A:$A,0))&amp;"","")</f>
        <v/>
      </c>
    </row>
    <row r="58" ht="30" customHeight="1" spans="1:28">
      <c r="A58" s="40"/>
      <c r="B58" s="41"/>
      <c r="C58" s="42"/>
      <c r="D58" s="42"/>
      <c r="E58" s="42"/>
      <c r="F58" s="42"/>
      <c r="G58" s="42"/>
      <c r="H58" s="42"/>
      <c r="I58" s="42"/>
      <c r="J58" s="43" t="str">
        <f>IFERROR(INDEX('Juan Carlos'!$P:$P,MATCH($C58,'Juan Carlos'!$A:$A,0))&amp;"","")</f>
        <v/>
      </c>
      <c r="K58" s="20" t="str">
        <f t="shared" si="0"/>
        <v/>
      </c>
      <c r="L58" s="43" t="str">
        <f ca="1" t="shared" si="1"/>
        <v/>
      </c>
      <c r="M58" s="42"/>
      <c r="N58" s="42"/>
      <c r="O58" s="42"/>
      <c r="P58" s="42"/>
      <c r="Q58" s="42"/>
      <c r="R58" s="42"/>
      <c r="S58" s="42"/>
      <c r="T58" s="42"/>
      <c r="U58" s="44" t="str">
        <f t="shared" si="2"/>
        <v/>
      </c>
      <c r="V58" s="23"/>
      <c r="W58" s="24"/>
      <c r="X58" s="45" t="str">
        <f ca="1" t="shared" si="3"/>
        <v/>
      </c>
      <c r="Y58" s="23"/>
      <c r="Z58" s="46" t="str">
        <f>IFERROR(INDEX(Aarón!$P:$P,MATCH($C58,Aarón!$A:$A,0))&amp;"",IFERROR(INDEX(Rubit!$P:$P,MATCH($C58,Rubit!$A:$A,0))&amp;"",IFERROR(INDEX(Luis!$P:$P,MATCH($C58,Luis!$A:$A,0))&amp;"","")))</f>
        <v/>
      </c>
      <c r="AA58" s="43" t="str">
        <f>IFERROR(INDEX(Aarón!$Q:$Q,MATCH($C58,Aarón!$A:$A,0))&amp;"",IFERROR(INDEX(Rubit!$Q:$Q,MATCH($C58,Rubit!$A:$A,0))&amp;"",IFERROR(INDEX(Luis!$Q:$Q,MATCH($C58,Luis!$A:$A,0))&amp;"","")))</f>
        <v/>
      </c>
      <c r="AB58" s="43" t="str">
        <f>IFERROR(INDEX('Juan Carlos'!$Q:$Q,MATCH($C58,'Juan Carlos'!$A:$A,0))&amp;"","")</f>
        <v/>
      </c>
    </row>
    <row r="59" ht="30" customHeight="1" spans="1:28">
      <c r="A59" s="40"/>
      <c r="B59" s="41"/>
      <c r="C59" s="42"/>
      <c r="D59" s="42"/>
      <c r="E59" s="42"/>
      <c r="F59" s="42"/>
      <c r="G59" s="42"/>
      <c r="H59" s="42"/>
      <c r="I59" s="42"/>
      <c r="J59" s="43" t="str">
        <f>IFERROR(INDEX('Juan Carlos'!$P:$P,MATCH($C59,'Juan Carlos'!$A:$A,0))&amp;"","")</f>
        <v/>
      </c>
      <c r="K59" s="20" t="str">
        <f t="shared" si="0"/>
        <v/>
      </c>
      <c r="L59" s="43" t="str">
        <f ca="1" t="shared" si="1"/>
        <v/>
      </c>
      <c r="M59" s="42"/>
      <c r="N59" s="42"/>
      <c r="O59" s="42"/>
      <c r="P59" s="42"/>
      <c r="Q59" s="42"/>
      <c r="R59" s="42"/>
      <c r="S59" s="42"/>
      <c r="T59" s="42"/>
      <c r="U59" s="44" t="str">
        <f t="shared" si="2"/>
        <v/>
      </c>
      <c r="V59" s="23"/>
      <c r="W59" s="24"/>
      <c r="X59" s="45" t="str">
        <f ca="1" t="shared" si="3"/>
        <v/>
      </c>
      <c r="Y59" s="23"/>
      <c r="Z59" s="46" t="str">
        <f>IFERROR(INDEX(Aarón!$P:$P,MATCH($C59,Aarón!$A:$A,0))&amp;"",IFERROR(INDEX(Rubit!$P:$P,MATCH($C59,Rubit!$A:$A,0))&amp;"",IFERROR(INDEX(Luis!$P:$P,MATCH($C59,Luis!$A:$A,0))&amp;"","")))</f>
        <v/>
      </c>
      <c r="AA59" s="43" t="str">
        <f>IFERROR(INDEX(Aarón!$Q:$Q,MATCH($C59,Aarón!$A:$A,0))&amp;"",IFERROR(INDEX(Rubit!$Q:$Q,MATCH($C59,Rubit!$A:$A,0))&amp;"",IFERROR(INDEX(Luis!$Q:$Q,MATCH($C59,Luis!$A:$A,0))&amp;"","")))</f>
        <v/>
      </c>
      <c r="AB59" s="43" t="str">
        <f>IFERROR(INDEX('Juan Carlos'!$Q:$Q,MATCH($C59,'Juan Carlos'!$A:$A,0))&amp;"","")</f>
        <v/>
      </c>
    </row>
    <row r="60" ht="30" customHeight="1" spans="1:28">
      <c r="A60" s="40"/>
      <c r="B60" s="41"/>
      <c r="C60" s="42"/>
      <c r="D60" s="42"/>
      <c r="E60" s="42"/>
      <c r="F60" s="42"/>
      <c r="G60" s="42"/>
      <c r="H60" s="42"/>
      <c r="I60" s="42"/>
      <c r="J60" s="43" t="str">
        <f>IFERROR(INDEX('Juan Carlos'!$P:$P,MATCH($C60,'Juan Carlos'!$A:$A,0))&amp;"","")</f>
        <v/>
      </c>
      <c r="K60" s="20" t="str">
        <f t="shared" si="0"/>
        <v/>
      </c>
      <c r="L60" s="43" t="str">
        <f ca="1" t="shared" si="1"/>
        <v/>
      </c>
      <c r="M60" s="42"/>
      <c r="N60" s="42"/>
      <c r="O60" s="42"/>
      <c r="P60" s="42"/>
      <c r="Q60" s="42"/>
      <c r="R60" s="42"/>
      <c r="S60" s="42"/>
      <c r="T60" s="42"/>
      <c r="U60" s="44" t="str">
        <f t="shared" si="2"/>
        <v/>
      </c>
      <c r="V60" s="23"/>
      <c r="W60" s="24"/>
      <c r="X60" s="45" t="str">
        <f ca="1" t="shared" si="3"/>
        <v/>
      </c>
      <c r="Y60" s="23"/>
      <c r="Z60" s="46" t="str">
        <f>IFERROR(INDEX(Aarón!$P:$P,MATCH($C60,Aarón!$A:$A,0))&amp;"",IFERROR(INDEX(Rubit!$P:$P,MATCH($C60,Rubit!$A:$A,0))&amp;"",IFERROR(INDEX(Luis!$P:$P,MATCH($C60,Luis!$A:$A,0))&amp;"","")))</f>
        <v/>
      </c>
      <c r="AA60" s="43" t="str">
        <f>IFERROR(INDEX(Aarón!$Q:$Q,MATCH($C60,Aarón!$A:$A,0))&amp;"",IFERROR(INDEX(Rubit!$Q:$Q,MATCH($C60,Rubit!$A:$A,0))&amp;"",IFERROR(INDEX(Luis!$Q:$Q,MATCH($C60,Luis!$A:$A,0))&amp;"","")))</f>
        <v/>
      </c>
      <c r="AB60" s="43" t="str">
        <f>IFERROR(INDEX('Juan Carlos'!$Q:$Q,MATCH($C60,'Juan Carlos'!$A:$A,0))&amp;"","")</f>
        <v/>
      </c>
    </row>
  </sheetData>
  <mergeCells count="4">
    <mergeCell ref="A1:B1"/>
    <mergeCell ref="C1:E1"/>
    <mergeCell ref="F1:G1"/>
    <mergeCell ref="H1:Y1"/>
  </mergeCells>
  <conditionalFormatting sqref="D4:D60">
    <cfRule type="expression" dxfId="0" priority="25">
      <formula>AND($C4&lt;&gt;"",$D4="")</formula>
    </cfRule>
  </conditionalFormatting>
  <conditionalFormatting sqref="F4:F60">
    <cfRule type="expression" dxfId="0" priority="23">
      <formula>$F4="Por definir"</formula>
    </cfRule>
  </conditionalFormatting>
  <conditionalFormatting sqref="H4:H60">
    <cfRule type="expression" dxfId="1" priority="24">
      <formula>$H4="Sin asignar"</formula>
    </cfRule>
  </conditionalFormatting>
  <conditionalFormatting sqref="J4:J60">
    <cfRule type="expression" dxfId="2" priority="26">
      <formula>$J4="Falta material"</formula>
    </cfRule>
    <cfRule type="expression" dxfId="3" priority="27">
      <formula>$J4="Material completo — iniciar diseño"</formula>
    </cfRule>
    <cfRule type="expression" dxfId="4" priority="28">
      <formula>$J4="Diseño en curso"</formula>
    </cfRule>
    <cfRule type="expression" dxfId="5" priority="29">
      <formula>$J4="Avance listo para presentar"</formula>
    </cfRule>
    <cfRule type="expression" dxfId="3" priority="30">
      <formula>$J4="En revisión del cliente"</formula>
    </cfRule>
    <cfRule type="expression" dxfId="5" priority="31">
      <formula>$J4="Diseño finalizado"</formula>
    </cfRule>
  </conditionalFormatting>
  <conditionalFormatting sqref="K4:K60">
    <cfRule type="expression" dxfId="6" priority="2">
      <formula>$K4="A"</formula>
    </cfRule>
    <cfRule type="expression" dxfId="0" priority="3">
      <formula>$K4="B"</formula>
    </cfRule>
    <cfRule type="expression" dxfId="1" priority="4">
      <formula>$K4="C"</formula>
    </cfRule>
  </conditionalFormatting>
  <conditionalFormatting sqref="L4:L60">
    <cfRule type="expression" dxfId="1" priority="5">
      <formula>ISNUMBER(SEARCH("CONGELAR",$L4))</formula>
    </cfRule>
    <cfRule type="expression" dxfId="0" priority="6">
      <formula>ISNUMBER(SEARCH("COBRAR",$L4))</formula>
    </cfRule>
    <cfRule type="expression" dxfId="0" priority="7">
      <formula>ISNUMBER(SEARCH("PERSEGUIR",$L4))</formula>
    </cfRule>
    <cfRule type="expression" dxfId="6" priority="8">
      <formula>OR($L4="Al día",$L4="Listo para asignar")</formula>
    </cfRule>
  </conditionalFormatting>
  <conditionalFormatting sqref="M4:M60">
    <cfRule type="expression" dxfId="6" priority="9">
      <formula>$M4="Sí"</formula>
    </cfRule>
    <cfRule type="expression" dxfId="1" priority="10">
      <formula>$M4="No"</formula>
    </cfRule>
  </conditionalFormatting>
  <conditionalFormatting sqref="N4:N60">
    <cfRule type="expression" dxfId="6" priority="11">
      <formula>$N4="Sí"</formula>
    </cfRule>
    <cfRule type="expression" dxfId="1" priority="12">
      <formula>$N4="No"</formula>
    </cfRule>
  </conditionalFormatting>
  <conditionalFormatting sqref="O4:O60">
    <cfRule type="expression" dxfId="6" priority="13">
      <formula>$O4="Sí"</formula>
    </cfRule>
    <cfRule type="expression" dxfId="1" priority="14">
      <formula>$O4="No"</formula>
    </cfRule>
  </conditionalFormatting>
  <conditionalFormatting sqref="P4:P60">
    <cfRule type="expression" dxfId="6" priority="15">
      <formula>OR($P4="Completo",$P4="Recibida y validada")</formula>
    </cfRule>
    <cfRule type="expression" dxfId="0" priority="16">
      <formula>OR($P4="Incompleto",$P4="Recibida con errores")</formula>
    </cfRule>
    <cfRule type="expression" dxfId="1" priority="17">
      <formula>OR($P4="Nada",$P4="No enviada")</formula>
    </cfRule>
  </conditionalFormatting>
  <conditionalFormatting sqref="Q4:Q60">
    <cfRule type="expression" dxfId="6" priority="18">
      <formula>OR($Q4="Completo",$Q4="Recibida y validada")</formula>
    </cfRule>
    <cfRule type="expression" dxfId="0" priority="19">
      <formula>OR($Q4="Incompleto",$Q4="Recibida con errores")</formula>
    </cfRule>
    <cfRule type="expression" dxfId="1" priority="20">
      <formula>OR($Q4="Nada",$Q4="No enviada")</formula>
    </cfRule>
  </conditionalFormatting>
  <conditionalFormatting sqref="X4:X60">
    <cfRule type="cellIs" dxfId="7" priority="21" operator="greaterThan">
      <formula>15</formula>
    </cfRule>
    <cfRule type="cellIs" dxfId="8" priority="22" operator="between">
      <formula>8</formula>
      <formula>15</formula>
    </cfRule>
  </conditionalFormatting>
  <conditionalFormatting sqref="Z4:Z60">
    <cfRule type="expression" dxfId="5" priority="32">
      <formula>$Z4="Listo — avanzar"</formula>
    </cfRule>
    <cfRule type="expression" dxfId="5" priority="33">
      <formula>$Z4="Entregado"</formula>
    </cfRule>
    <cfRule type="expression" dxfId="2" priority="34">
      <formula>$Z4="Trabado — necesito ayuda"</formula>
    </cfRule>
    <cfRule type="expression" dxfId="3" priority="35">
      <formula>$Z4="Esperando al cliente"</formula>
    </cfRule>
    <cfRule type="expression" dxfId="4" priority="36">
      <formula>$Z4="En curso"</formula>
    </cfRule>
  </conditionalFormatting>
  <conditionalFormatting sqref="A4:AB60">
    <cfRule type="expression" dxfId="9" priority="37">
      <formula>AND($C$1&lt;&gt;"",ISNUMBER(SEARCH($C$1,$C4&amp;" "&amp;$B4)))</formula>
    </cfRule>
  </conditionalFormatting>
  <dataValidations count="9">
    <dataValidation type="custom" allowBlank="1" sqref="D4:D60">
      <formula1>OR($D4="",ISNUMBER(SEARCH("@",$D4)))</formula1>
    </dataValidation>
    <dataValidation type="list" allowBlank="1" sqref="E4:E60">
      <formula1>"E-commerce,Informativa"</formula1>
    </dataValidation>
    <dataValidation type="list" allowBlank="1" sqref="F4:F60">
      <formula1>"Shopify,WooCommerce,Personalizado,Por definir"</formula1>
    </dataValidation>
    <dataValidation type="list" allowBlank="1" sqref="G4:G60">
      <formula1>"Cola,Esperando material,Diseño,Desarrollo,Esperando catálogo,QA + entrega,Cerrado,Congelado"</formula1>
    </dataValidation>
    <dataValidation type="list" allowBlank="1" sqref="H4:H60">
      <formula1>"Sin asignar,Aarón,Rubit,Luis"</formula1>
    </dataValidation>
    <dataValidation type="list" allowBlank="1" sqref="I4:I60">
      <formula1>"Juan Carlos,Sin asignar"</formula1>
    </dataValidation>
    <dataValidation type="list" allowBlank="1" sqref="P4:P60">
      <formula1>"Completo,Incompleto,Nada"</formula1>
    </dataValidation>
    <dataValidation type="list" allowBlank="1" sqref="Q4:Q60">
      <formula1>"Recibida y validada,Recibida con errores,No enviada,No aplica"</formula1>
    </dataValidation>
    <dataValidation type="list" allowBlank="1" sqref="M4:O60">
      <formula1>"Sí,No,No aplica"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380952380952" defaultRowHeight="15"/>
  <cols>
    <col min="1" max="1" width="3" customWidth="1"/>
    <col min="2" max="2" width="26" customWidth="1"/>
    <col min="3" max="3" width="10" customWidth="1"/>
    <col min="4" max="4" width="3" customWidth="1"/>
    <col min="5" max="12" width="24" customWidth="1"/>
  </cols>
  <sheetData>
    <row r="1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 spans="1:26">
      <c r="A2" s="1"/>
      <c r="B2" s="2" t="s">
        <v>248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1"/>
      <c r="B3" s="3" t="s">
        <v>249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2" customHeight="1" spans="1:26">
      <c r="A5" s="1"/>
      <c r="B5" s="26">
        <f>COUNTIF(Proyectos!$K$4:$K$60,"A")</f>
        <v>31</v>
      </c>
      <c r="C5" s="26"/>
      <c r="D5" s="27">
        <f>COUNTIF(Proyectos!$K$4:$K$60,"B")</f>
        <v>16</v>
      </c>
      <c r="E5" s="27"/>
      <c r="F5" s="28">
        <f>COUNTIF(Proyectos!$K$4:$K$60,"C")</f>
        <v>1</v>
      </c>
      <c r="G5" s="28"/>
      <c r="H5" s="28">
        <f ca="1">COUNTIF(Proyectos!$X$4:$X$60,"&gt;15")</f>
        <v>30</v>
      </c>
      <c r="I5" s="28"/>
      <c r="J5" s="29">
        <f>COUNTIF(Proyectos!$G$4:$G$60,"Cerrado")</f>
        <v>18</v>
      </c>
      <c r="K5" s="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" customHeight="1" spans="1:26">
      <c r="A6" s="1"/>
      <c r="B6" s="30" t="s">
        <v>250</v>
      </c>
      <c r="C6" s="30"/>
      <c r="D6" s="31" t="s">
        <v>251</v>
      </c>
      <c r="E6" s="31"/>
      <c r="F6" s="32" t="s">
        <v>252</v>
      </c>
      <c r="G6" s="32"/>
      <c r="H6" s="32" t="s">
        <v>253</v>
      </c>
      <c r="I6" s="32"/>
      <c r="J6" s="33" t="s">
        <v>254</v>
      </c>
      <c r="K6" s="3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Height="1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Height="1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Height="1" spans="1:26">
      <c r="A9" s="1"/>
      <c r="B9" s="6" t="s">
        <v>255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Height="1" spans="1:26">
      <c r="A10" s="1"/>
      <c r="B10" s="34" t="s">
        <v>201</v>
      </c>
      <c r="C10" s="35">
        <f>COUNTIF(Proyectos!$G$4:$G$60,"Cola")</f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Height="1" spans="1:26">
      <c r="A11" s="1"/>
      <c r="B11" s="34" t="s">
        <v>86</v>
      </c>
      <c r="C11" s="35">
        <f>COUNTIF(Proyectos!$G$4:$G$60,"Esperando material")</f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Height="1" spans="1:26">
      <c r="A12" s="1"/>
      <c r="B12" s="34" t="s">
        <v>129</v>
      </c>
      <c r="C12" s="35">
        <f>COUNTIF(Proyectos!$G$4:$G$60,"Diseño")</f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Height="1" spans="1:26">
      <c r="A13" s="1"/>
      <c r="B13" s="34" t="s">
        <v>77</v>
      </c>
      <c r="C13" s="35">
        <f>COUNTIF(Proyectos!$G$4:$G$60,"Desarrollo")</f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1"/>
      <c r="B14" s="34" t="s">
        <v>256</v>
      </c>
      <c r="C14" s="35">
        <f>COUNTIF(Proyectos!$G$4:$G$60,"Esperando catálogo")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1"/>
      <c r="B15" s="34" t="s">
        <v>151</v>
      </c>
      <c r="C15" s="35">
        <f>COUNTIF(Proyectos!$G$4:$G$60,"QA + entrega")</f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Height="1" spans="1:26">
      <c r="A16" s="1"/>
      <c r="B16" s="34" t="s">
        <v>62</v>
      </c>
      <c r="C16" s="35">
        <f>COUNTIF(Proyectos!$G$4:$G$60,"Cerrado")</f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Height="1" spans="1:26">
      <c r="A17" s="1"/>
      <c r="B17" s="34" t="s">
        <v>92</v>
      </c>
      <c r="C17" s="35">
        <f>COUNTIF(Proyectos!$G$4:$G$60,"Congelado")</f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Height="1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Height="1" spans="1:26">
      <c r="A20" s="1"/>
      <c r="B20" s="6" t="s">
        <v>257</v>
      </c>
      <c r="C20" s="1"/>
      <c r="D20" s="1"/>
      <c r="E20" s="6" t="s">
        <v>258</v>
      </c>
      <c r="F20" s="1"/>
      <c r="G20" s="1"/>
      <c r="H20" s="6" t="s">
        <v>259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Height="1" spans="1:26">
      <c r="A21" s="1"/>
      <c r="B21" s="34" t="s">
        <v>260</v>
      </c>
      <c r="C21" s="35">
        <f>COUNTIFS(Proyectos!$K$4:$K$60,"A",Proyectos!$G$4:$G$60,"&lt;&gt;Cerrado",Proyectos!$G$4:$G$60,"&lt;&gt;Congelado",Proyectos!$C$4:$C$60,"&lt;&gt;")</f>
        <v>13</v>
      </c>
      <c r="D21" s="1"/>
      <c r="E21" s="34" t="s">
        <v>228</v>
      </c>
      <c r="F21" s="35">
        <f>COUNTIF(Proyectos!$F$4:$F$60,"Shopify")</f>
        <v>1</v>
      </c>
      <c r="G21" s="1"/>
      <c r="H21" s="34" t="s">
        <v>261</v>
      </c>
      <c r="I21" s="35">
        <f>COUNTIF(Proyectos!$J$4:$J$60,"Falta material")</f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Height="1" spans="1:26">
      <c r="A22" s="1"/>
      <c r="B22" s="34" t="s">
        <v>262</v>
      </c>
      <c r="C22" s="35">
        <f>COUNTIFS(Proyectos!$H$4:$H$60,"Aarón",Proyectos!$G$4:$G$60,"Desarrollo")</f>
        <v>3</v>
      </c>
      <c r="D22" s="1"/>
      <c r="E22" s="34" t="s">
        <v>124</v>
      </c>
      <c r="F22" s="35">
        <f>COUNTIF(Proyectos!$F$4:$F$60,"WooCommerce")</f>
        <v>1</v>
      </c>
      <c r="G22" s="1"/>
      <c r="H22" s="34" t="s">
        <v>263</v>
      </c>
      <c r="I22" s="35">
        <f>COUNTIF(Proyectos!$J$4:$J$60,"Material completo — iniciar diseño")</f>
        <v>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Height="1" spans="1:26">
      <c r="A23" s="1"/>
      <c r="B23" s="34" t="s">
        <v>264</v>
      </c>
      <c r="C23" s="35">
        <f>COUNTIFS(Proyectos!$H$4:$H$60,"Rubit",Proyectos!$G$4:$G$60,"Desarrollo")</f>
        <v>0</v>
      </c>
      <c r="D23" s="1"/>
      <c r="E23" s="34" t="s">
        <v>265</v>
      </c>
      <c r="F23" s="35">
        <f>COUNTIF(Proyectos!$F$4:$F$60,"Personalizado")</f>
        <v>0</v>
      </c>
      <c r="G23" s="1"/>
      <c r="H23" s="34" t="s">
        <v>266</v>
      </c>
      <c r="I23" s="35">
        <f>COUNTIF(Proyectos!$J$4:$J$60,"Diseño en curso")</f>
        <v>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 spans="1:26">
      <c r="A24" s="1"/>
      <c r="B24" s="34" t="s">
        <v>267</v>
      </c>
      <c r="C24" s="35">
        <f>COUNTIFS(Proyectos!$H$4:$H$60,"Luis",Proyectos!$G$4:$G$60,"Desarrollo")</f>
        <v>1</v>
      </c>
      <c r="D24" s="1"/>
      <c r="E24" s="34" t="s">
        <v>61</v>
      </c>
      <c r="F24" s="35">
        <f>COUNTIF(Proyectos!$F$4:$F$60,"Por definir")</f>
        <v>46</v>
      </c>
      <c r="G24" s="1"/>
      <c r="H24" s="34" t="s">
        <v>268</v>
      </c>
      <c r="I24" s="35">
        <f>COUNTIF(Proyectos!$J$4:$J$60,"Avance listo para presentar")</f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 spans="1:26">
      <c r="A25" s="1"/>
      <c r="B25" s="34" t="s">
        <v>269</v>
      </c>
      <c r="C25" s="35">
        <f>COUNTIFS(Proyectos!$H$4:$H$60,"Sin asignar",Proyectos!$G$4:$G$60,"&lt;&gt;Cerrado",Proyectos!$G$4:$G$60,"&lt;&gt;Congelado",Proyectos!$C$4:$C$60,"&lt;&gt;")</f>
        <v>5</v>
      </c>
      <c r="D25" s="1"/>
      <c r="E25" s="1"/>
      <c r="F25" s="1"/>
      <c r="G25" s="1"/>
      <c r="H25" s="34" t="s">
        <v>270</v>
      </c>
      <c r="I25" s="35">
        <f>COUNTIF(Proyectos!$J$4:$J$60,"En revisión del cliente")</f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Height="1" spans="1:26">
      <c r="A26" s="1"/>
      <c r="B26" s="6"/>
      <c r="C26" s="1"/>
      <c r="D26" s="1"/>
      <c r="E26" s="1"/>
      <c r="F26" s="1"/>
      <c r="G26" s="1"/>
      <c r="H26" s="34" t="s">
        <v>271</v>
      </c>
      <c r="I26" s="35">
        <f>COUNTIF(Proyectos!$J$4:$J$60,"Diseño finalizado")</f>
        <v>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Height="1" spans="1:26">
      <c r="A31" s="1"/>
      <c r="B31" s="6" t="s">
        <v>272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Height="1" spans="1:26">
      <c r="A32" s="1"/>
      <c r="B32" s="34" t="s">
        <v>273</v>
      </c>
      <c r="C32" s="35">
        <f>COUNTIF(Proyectos!$M$4:$M$60,"No")</f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Height="1" spans="1:26">
      <c r="A33" s="1"/>
      <c r="B33" s="34" t="s">
        <v>274</v>
      </c>
      <c r="C33" s="35">
        <f>COUNTIFS(Proyectos!$G$4:$G$60,"Desarrollo",Proyectos!$N$4:$N$60,"No")</f>
        <v>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Height="1" spans="1:26">
      <c r="A34" s="1"/>
      <c r="B34" s="34" t="s">
        <v>275</v>
      </c>
      <c r="C34" s="35">
        <f>COUNTIFS(Proyectos!$G$4:$G$60,"QA + entrega",Proyectos!$O$4:$O$60,"No")</f>
        <v>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Height="1" spans="1:26">
      <c r="A40" s="1"/>
      <c r="B40" s="3" t="s">
        <v>276</v>
      </c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2:F2"/>
    <mergeCell ref="B3:L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40:F40"/>
  </mergeCells>
  <conditionalFormatting sqref="C21">
    <cfRule type="cellIs" dxfId="10" priority="2" operator="greaterThanOrEqual">
      <formula>2</formula>
    </cfRule>
  </conditionalFormatting>
  <conditionalFormatting sqref="C22">
    <cfRule type="cellIs" dxfId="10" priority="3" operator="greaterThanOrEqual">
      <formula>2</formula>
    </cfRule>
  </conditionalFormatting>
  <conditionalFormatting sqref="C23">
    <cfRule type="cellIs" dxfId="10" priority="4" operator="greaterThanOrEqual">
      <formula>2</formula>
    </cfRule>
  </conditionalFormatting>
  <conditionalFormatting sqref="C32">
    <cfRule type="cellIs" dxfId="10" priority="5" operator="greaterThan">
      <formula>0</formula>
    </cfRule>
  </conditionalFormatting>
  <conditionalFormatting sqref="C33">
    <cfRule type="cellIs" dxfId="10" priority="6" operator="greaterThan">
      <formula>0</formula>
    </cfRule>
  </conditionalFormatting>
  <conditionalFormatting sqref="C34">
    <cfRule type="cellIs" dxfId="10" priority="7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H15" sqref="H15"/>
    </sheetView>
  </sheetViews>
  <sheetFormatPr defaultColWidth="8.67619047619048" defaultRowHeight="15"/>
  <cols>
    <col min="1" max="1" width="24" customWidth="1"/>
    <col min="2" max="2" width="19.5714285714286" customWidth="1"/>
    <col min="3" max="3" width="9" customWidth="1"/>
    <col min="4" max="4" width="28" customWidth="1"/>
    <col min="5" max="5" width="12" customWidth="1"/>
    <col min="6" max="6" width="14" customWidth="1"/>
    <col min="7" max="7" width="18" customWidth="1"/>
    <col min="8" max="8" width="7" customWidth="1"/>
    <col min="9" max="9" width="30" customWidth="1"/>
    <col min="10" max="10" width="15" customWidth="1"/>
    <col min="11" max="11" width="18" customWidth="1"/>
    <col min="12" max="12" width="28" customWidth="1"/>
    <col min="13" max="13" width="15" customWidth="1"/>
    <col min="14" max="14" width="11" customWidth="1"/>
    <col min="15" max="15" width="34" customWidth="1"/>
    <col min="16" max="16" width="26" customWidth="1"/>
    <col min="17" max="17" width="34" customWidth="1"/>
    <col min="18" max="18" width="12" customWidth="1"/>
  </cols>
  <sheetData>
    <row r="1" ht="27.75" customHeight="1" spans="1:18">
      <c r="A1" s="12" t="s">
        <v>277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A2" s="13" t="s">
        <v>278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30" customHeight="1" spans="1:18">
      <c r="A3" s="14" t="s">
        <v>279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18" customHeight="1" spans="1:18">
      <c r="A4" s="25" t="str">
        <f>IF(COUNTIFS(Proyectos!$K$4:$K$60,"A",Proyectos!$G$4:$G$60,"&lt;&gt;Cerrado",Proyectos!$G$4:$G$60,"&lt;&gt;Congelado",Proyectos!$C$4:$C$60,"&lt;&gt;")=COUNTA($A$6:$A$19),"Cuadra: "&amp;COUNTIFS(Proyectos!$K$4:$K$60,"A",Proyectos!$G$4:$G$60,"&lt;&gt;Cerrado",Proyectos!$G$4:$G$60,"&lt;&gt;Congelado",Proyectos!$C$4:$C$60,"&lt;&gt;")&amp;" proyectos en grupo A.","OJO: hay "&amp;COUNTIFS(Proyectos!$K$4:$K$60,"A",Proyectos!$G$4:$G$60,"&lt;&gt;Cerrado",Proyectos!$G$4:$G$60,"&lt;&gt;Congelado",Proyectos!$C$4:$C$60,"&lt;&gt;")&amp;" proyectos en grupo A en la hoja Proyectos y esta lista tiene "&amp;COUNTA($A$6:$A$19)&amp;". Pide que se regenere la hoja.")</f>
        <v>OJO: hay 13 proyectos en grupo A en la hoja Proyectos y esta lista tiene 14. Pide que se regenere la hoja.</v>
      </c>
    </row>
    <row r="5" ht="31.5" customHeight="1" spans="1:18">
      <c r="A5" s="15" t="s">
        <v>32</v>
      </c>
      <c r="B5" s="15" t="s">
        <v>280</v>
      </c>
      <c r="C5" s="15" t="s">
        <v>31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40</v>
      </c>
      <c r="I5" s="15" t="s">
        <v>41</v>
      </c>
      <c r="J5" s="15" t="s">
        <v>45</v>
      </c>
      <c r="K5" s="15" t="s">
        <v>46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281</v>
      </c>
      <c r="Q5" s="15" t="s">
        <v>282</v>
      </c>
      <c r="R5" s="15" t="s">
        <v>283</v>
      </c>
    </row>
    <row r="6" ht="30" customHeight="1" spans="1:18">
      <c r="A6" s="16" t="s">
        <v>150</v>
      </c>
      <c r="B6" s="17">
        <f>IFERROR(IF(INDEX(Proyectos!$A:$A,MATCH($A6,Proyectos!$C:$C,0))="","",INDEX(Proyectos!$A:$A,MATCH($A6,Proyectos!$C:$C,0))),"")</f>
        <v>1</v>
      </c>
      <c r="C6" s="18" t="str">
        <f>IFERROR(INDEX(Proyectos!$B:$B,MATCH($A6,Proyectos!$C:$C,0))&amp;"","")</f>
        <v>062</v>
      </c>
      <c r="D6" s="19" t="str">
        <f>IFERROR(INDEX(Proyectos!$D:$D,MATCH($A6,Proyectos!$C:$C,0))&amp;"","")</f>
        <v/>
      </c>
      <c r="E6" s="19" t="str">
        <f>IFERROR(INDEX(Proyectos!$E:$E,MATCH($A6,Proyectos!$C:$C,0))&amp;"","")</f>
        <v>E-commerce</v>
      </c>
      <c r="F6" s="19" t="str">
        <f>IFERROR(INDEX(Proyectos!$F:$F,MATCH($A6,Proyectos!$C:$C,0))&amp;"","")</f>
        <v>Por definir</v>
      </c>
      <c r="G6" s="19" t="str">
        <f>IFERROR(INDEX(Proyectos!$G:$G,MATCH($A6,Proyectos!$C:$C,0))&amp;"","")</f>
        <v>QA + entrega</v>
      </c>
      <c r="H6" s="20" t="str">
        <f>IFERROR(INDEX(Proyectos!$K:$K,MATCH($A6,Proyectos!$C:$C,0))&amp;"","")</f>
        <v>A</v>
      </c>
      <c r="I6" s="21" t="str">
        <f ca="1">IFERROR(INDEX(Proyectos!$L:$L,MATCH($A6,Proyectos!$C:$C,0))&amp;"","")</f>
        <v>CONGELAR HOY</v>
      </c>
      <c r="J6" s="19" t="str">
        <f>IFERROR(INDEX(Proyectos!$P:$P,MATCH($A6,Proyectos!$C:$C,0))&amp;"","")</f>
        <v>Completo</v>
      </c>
      <c r="K6" s="19" t="str">
        <f>IFERROR(INDEX(Proyectos!$Q:$Q,MATCH($A6,Proyectos!$C:$C,0))&amp;"","")</f>
        <v>No enviada</v>
      </c>
      <c r="L6" s="21" t="str">
        <f>IFERROR(INDEX(Proyectos!$V:$V,MATCH($A6,Proyectos!$C:$C,0))&amp;"","")</f>
        <v>Carga y validación de contenidos</v>
      </c>
      <c r="M6" s="22">
        <f>IFERROR(IF(INDEX(Proyectos!$W:$W,MATCH($A6,Proyectos!$C:$C,0))="","",INDEX(Proyectos!$W:$W,MATCH($A6,Proyectos!$C:$C,0))),"")</f>
        <v>46218</v>
      </c>
      <c r="N6" s="19">
        <f ca="1">IFERROR(INDEX(Proyectos!$X:$X,MATCH($A6,Proyectos!$C:$C,0)),"")</f>
        <v>19</v>
      </c>
      <c r="O6" s="21" t="str">
        <f>IFERROR(INDEX(Proyectos!$Y:$Y,MATCH($A6,Proyectos!$C:$C,0))&amp;"","")</f>
        <v>Cliente: Noelia Juanfer. OJO: Luis tiene capacidad 0 según Reglas — confirmar si esto es correcto. Cita viernes 24/07</v>
      </c>
      <c r="P6" s="23" t="s">
        <v>271</v>
      </c>
      <c r="Q6" s="23"/>
      <c r="R6" s="24"/>
    </row>
    <row r="7" ht="30" customHeight="1" spans="1:18">
      <c r="A7" s="16" t="s">
        <v>167</v>
      </c>
      <c r="B7" s="17">
        <f>IFERROR(IF(INDEX(Proyectos!$A:$A,MATCH($A7,Proyectos!$C:$C,0))="","",INDEX(Proyectos!$A:$A,MATCH($A7,Proyectos!$C:$C,0))),"")</f>
        <v>2</v>
      </c>
      <c r="C7" s="18" t="str">
        <f>IFERROR(INDEX(Proyectos!$B:$B,MATCH($A7,Proyectos!$C:$C,0))&amp;"","")</f>
        <v>066</v>
      </c>
      <c r="D7" s="19" t="str">
        <f>IFERROR(INDEX(Proyectos!$D:$D,MATCH($A7,Proyectos!$C:$C,0))&amp;"","")</f>
        <v/>
      </c>
      <c r="E7" s="19" t="str">
        <f>IFERROR(INDEX(Proyectos!$E:$E,MATCH($A7,Proyectos!$C:$C,0))&amp;"","")</f>
        <v>E-commerce</v>
      </c>
      <c r="F7" s="19" t="str">
        <f>IFERROR(INDEX(Proyectos!$F:$F,MATCH($A7,Proyectos!$C:$C,0))&amp;"","")</f>
        <v>Por definir</v>
      </c>
      <c r="G7" s="19" t="str">
        <f>IFERROR(INDEX(Proyectos!$G:$G,MATCH($A7,Proyectos!$C:$C,0))&amp;"","")</f>
        <v>Diseño</v>
      </c>
      <c r="H7" s="20" t="str">
        <f>IFERROR(INDEX(Proyectos!$K:$K,MATCH($A7,Proyectos!$C:$C,0))&amp;"","")</f>
        <v>A</v>
      </c>
      <c r="I7" s="21" t="str">
        <f ca="1">IFERROR(INDEX(Proyectos!$L:$L,MATCH($A7,Proyectos!$C:$C,0))&amp;"","")</f>
        <v>CONGELAR HOY</v>
      </c>
      <c r="J7" s="19" t="str">
        <f>IFERROR(INDEX(Proyectos!$P:$P,MATCH($A7,Proyectos!$C:$C,0))&amp;"","")</f>
        <v>Completo</v>
      </c>
      <c r="K7" s="19" t="str">
        <f>IFERROR(INDEX(Proyectos!$Q:$Q,MATCH($A7,Proyectos!$C:$C,0))&amp;"","")</f>
        <v>No enviada</v>
      </c>
      <c r="L7" s="21" t="str">
        <f>IFERROR(INDEX(Proyectos!$V:$V,MATCH($A7,Proyectos!$C:$C,0))&amp;"","")</f>
        <v>Material de diseño en general</v>
      </c>
      <c r="M7" s="22">
        <f>IFERROR(IF(INDEX(Proyectos!$W:$W,MATCH($A7,Proyectos!$C:$C,0))="","",INDEX(Proyectos!$W:$W,MATCH($A7,Proyectos!$C:$C,0))),"")</f>
        <v>46218</v>
      </c>
      <c r="N7" s="19">
        <f ca="1">IFERROR(INDEX(Proyectos!$X:$X,MATCH($A7,Proyectos!$C:$C,0)),"")</f>
        <v>19</v>
      </c>
      <c r="O7" s="21" t="str">
        <f>IFERROR(INDEX(Proyectos!$Y:$Y,MATCH($A7,Proyectos!$C:$C,0))&amp;"","")</f>
        <v>Cliente: Erika Garay. Dev histórico: Aarón.</v>
      </c>
      <c r="P7" s="23" t="s">
        <v>266</v>
      </c>
      <c r="Q7" s="23" t="s">
        <v>284</v>
      </c>
      <c r="R7" s="24"/>
    </row>
    <row r="8" ht="30" customHeight="1" spans="1:18">
      <c r="A8" s="16" t="s">
        <v>193</v>
      </c>
      <c r="B8" s="17">
        <f>IFERROR(IF(INDEX(Proyectos!$A:$A,MATCH($A8,Proyectos!$C:$C,0))="","",INDEX(Proyectos!$A:$A,MATCH($A8,Proyectos!$C:$C,0))),"")</f>
        <v>3</v>
      </c>
      <c r="C8" s="18" t="str">
        <f>IFERROR(INDEX(Proyectos!$B:$B,MATCH($A8,Proyectos!$C:$C,0))&amp;"","")</f>
        <v>074</v>
      </c>
      <c r="D8" s="19" t="str">
        <f>IFERROR(INDEX(Proyectos!$D:$D,MATCH($A8,Proyectos!$C:$C,0))&amp;"","")</f>
        <v/>
      </c>
      <c r="E8" s="19" t="str">
        <f>IFERROR(INDEX(Proyectos!$E:$E,MATCH($A8,Proyectos!$C:$C,0))&amp;"","")</f>
        <v>E-commerce</v>
      </c>
      <c r="F8" s="19" t="str">
        <f>IFERROR(INDEX(Proyectos!$F:$F,MATCH($A8,Proyectos!$C:$C,0))&amp;"","")</f>
        <v>Por definir</v>
      </c>
      <c r="G8" s="19" t="str">
        <f>IFERROR(INDEX(Proyectos!$G:$G,MATCH($A8,Proyectos!$C:$C,0))&amp;"","")</f>
        <v>Diseño</v>
      </c>
      <c r="H8" s="20" t="str">
        <f>IFERROR(INDEX(Proyectos!$K:$K,MATCH($A8,Proyectos!$C:$C,0))&amp;"","")</f>
        <v>A</v>
      </c>
      <c r="I8" s="21" t="str">
        <f ca="1">IFERROR(INDEX(Proyectos!$L:$L,MATCH($A8,Proyectos!$C:$C,0))&amp;"","")</f>
        <v>CONGELAR HOY</v>
      </c>
      <c r="J8" s="19" t="str">
        <f>IFERROR(INDEX(Proyectos!$P:$P,MATCH($A8,Proyectos!$C:$C,0))&amp;"","")</f>
        <v>Completo</v>
      </c>
      <c r="K8" s="19" t="str">
        <f>IFERROR(INDEX(Proyectos!$Q:$Q,MATCH($A8,Proyectos!$C:$C,0))&amp;"","")</f>
        <v>Recibida con errores</v>
      </c>
      <c r="L8" s="21" t="str">
        <f>IFERROR(INDEX(Proyectos!$V:$V,MATCH($A8,Proyectos!$C:$C,0))&amp;"","")</f>
        <v>Fotos (comprometidas para la próxima semana)</v>
      </c>
      <c r="M8" s="22">
        <f>IFERROR(IF(INDEX(Proyectos!$W:$W,MATCH($A8,Proyectos!$C:$C,0))="","",INDEX(Proyectos!$W:$W,MATCH($A8,Proyectos!$C:$C,0))),"")</f>
        <v>46218</v>
      </c>
      <c r="N8" s="19">
        <f ca="1">IFERROR(INDEX(Proyectos!$X:$X,MATCH($A8,Proyectos!$C:$C,0)),"")</f>
        <v>19</v>
      </c>
      <c r="O8" s="21" t="str">
        <f>IFERROR(INDEX(Proyectos!$Y:$Y,MATCH($A8,Proyectos!$C:$C,0))&amp;"","")</f>
        <v>Cliente: Sebastian y Mauricio. Dev histórico: Aarón. PENDIENTE: subir las fotos al Drive. Pedir en el grupo que suban el brief al Drive para que Luis lo descargue.</v>
      </c>
      <c r="P8" s="23" t="s">
        <v>263</v>
      </c>
      <c r="Q8" s="23"/>
      <c r="R8" s="24"/>
    </row>
    <row r="9" ht="30" customHeight="1" spans="1:18">
      <c r="A9" s="16" t="s">
        <v>197</v>
      </c>
      <c r="B9" s="17">
        <f>IFERROR(IF(INDEX(Proyectos!$A:$A,MATCH($A9,Proyectos!$C:$C,0))="","",INDEX(Proyectos!$A:$A,MATCH($A9,Proyectos!$C:$C,0))),"")</f>
        <v>4</v>
      </c>
      <c r="C9" s="18" t="str">
        <f>IFERROR(INDEX(Proyectos!$B:$B,MATCH($A9,Proyectos!$C:$C,0))&amp;"","")</f>
        <v>075</v>
      </c>
      <c r="D9" s="19" t="str">
        <f>IFERROR(INDEX(Proyectos!$D:$D,MATCH($A9,Proyectos!$C:$C,0))&amp;"","")</f>
        <v/>
      </c>
      <c r="E9" s="19" t="str">
        <f>IFERROR(INDEX(Proyectos!$E:$E,MATCH($A9,Proyectos!$C:$C,0))&amp;"","")</f>
        <v>E-commerce</v>
      </c>
      <c r="F9" s="19" t="str">
        <f>IFERROR(INDEX(Proyectos!$F:$F,MATCH($A9,Proyectos!$C:$C,0))&amp;"","")</f>
        <v>Por definir</v>
      </c>
      <c r="G9" s="19" t="str">
        <f>IFERROR(INDEX(Proyectos!$G:$G,MATCH($A9,Proyectos!$C:$C,0))&amp;"","")</f>
        <v>Diseño</v>
      </c>
      <c r="H9" s="20" t="str">
        <f>IFERROR(INDEX(Proyectos!$K:$K,MATCH($A9,Proyectos!$C:$C,0))&amp;"","")</f>
        <v>A</v>
      </c>
      <c r="I9" s="21" t="str">
        <f ca="1">IFERROR(INDEX(Proyectos!$L:$L,MATCH($A9,Proyectos!$C:$C,0))&amp;"","")</f>
        <v>CONGELAR HOY</v>
      </c>
      <c r="J9" s="19" t="str">
        <f>IFERROR(INDEX(Proyectos!$P:$P,MATCH($A9,Proyectos!$C:$C,0))&amp;"","")</f>
        <v>Completo</v>
      </c>
      <c r="K9" s="19" t="str">
        <f>IFERROR(INDEX(Proyectos!$Q:$Q,MATCH($A9,Proyectos!$C:$C,0))&amp;"","")</f>
        <v>No enviada</v>
      </c>
      <c r="L9" s="21" t="str">
        <f>IFERROR(INDEX(Proyectos!$V:$V,MATCH($A9,Proyectos!$C:$C,0))&amp;"","")</f>
        <v>Material de diseño (brief y drive ya completados administrativamente)</v>
      </c>
      <c r="M9" s="22">
        <f>IFERROR(IF(INDEX(Proyectos!$W:$W,MATCH($A9,Proyectos!$C:$C,0))="","",INDEX(Proyectos!$W:$W,MATCH($A9,Proyectos!$C:$C,0))),"")</f>
        <v>46218</v>
      </c>
      <c r="N9" s="19">
        <f ca="1">IFERROR(INDEX(Proyectos!$X:$X,MATCH($A9,Proyectos!$C:$C,0)),"")</f>
        <v>19</v>
      </c>
      <c r="O9" s="21" t="str">
        <f>IFERROR(INDEX(Proyectos!$Y:$Y,MATCH($A9,Proyectos!$C:$C,0))&amp;"","")</f>
        <v>Cliente: Fatima. Dev histórico: Rubit. PENDIENTE: que envíen todo su material al Drive.</v>
      </c>
      <c r="P9" s="23" t="s">
        <v>263</v>
      </c>
      <c r="Q9" s="23"/>
      <c r="R9" s="24"/>
    </row>
    <row r="10" ht="30" customHeight="1" spans="1:18">
      <c r="A10" s="16" t="s">
        <v>186</v>
      </c>
      <c r="B10" s="17">
        <f>IFERROR(IF(INDEX(Proyectos!$A:$A,MATCH($A10,Proyectos!$C:$C,0))="","",INDEX(Proyectos!$A:$A,MATCH($A10,Proyectos!$C:$C,0))),"")</f>
        <v>5</v>
      </c>
      <c r="C10" s="18" t="str">
        <f>IFERROR(INDEX(Proyectos!$B:$B,MATCH($A10,Proyectos!$C:$C,0))&amp;"","")</f>
        <v>071</v>
      </c>
      <c r="D10" s="19" t="str">
        <f>IFERROR(INDEX(Proyectos!$D:$D,MATCH($A10,Proyectos!$C:$C,0))&amp;"","")</f>
        <v/>
      </c>
      <c r="E10" s="19" t="str">
        <f>IFERROR(INDEX(Proyectos!$E:$E,MATCH($A10,Proyectos!$C:$C,0))&amp;"","")</f>
        <v>Informativa</v>
      </c>
      <c r="F10" s="19" t="str">
        <f>IFERROR(INDEX(Proyectos!$F:$F,MATCH($A10,Proyectos!$C:$C,0))&amp;"","")</f>
        <v>Por definir</v>
      </c>
      <c r="G10" s="19" t="str">
        <f>IFERROR(INDEX(Proyectos!$G:$G,MATCH($A10,Proyectos!$C:$C,0))&amp;"","")</f>
        <v>Diseño</v>
      </c>
      <c r="H10" s="20" t="str">
        <f>IFERROR(INDEX(Proyectos!$K:$K,MATCH($A10,Proyectos!$C:$C,0))&amp;"","")</f>
        <v>A</v>
      </c>
      <c r="I10" s="21" t="str">
        <f ca="1">IFERROR(INDEX(Proyectos!$L:$L,MATCH($A10,Proyectos!$C:$C,0))&amp;"","")</f>
        <v>CONGELAR HOY</v>
      </c>
      <c r="J10" s="19" t="str">
        <f>IFERROR(INDEX(Proyectos!$P:$P,MATCH($A10,Proyectos!$C:$C,0))&amp;"","")</f>
        <v>Completo</v>
      </c>
      <c r="K10" s="19" t="str">
        <f>IFERROR(INDEX(Proyectos!$Q:$Q,MATCH($A10,Proyectos!$C:$C,0))&amp;"","")</f>
        <v>No aplica</v>
      </c>
      <c r="L10" s="21" t="str">
        <f>IFERROR(INDEX(Proyectos!$V:$V,MATCH($A10,Proyectos!$C:$C,0))&amp;"","")</f>
        <v>Material de diseño (brief y drive ya completados administrativamente)</v>
      </c>
      <c r="M10" s="22">
        <f>IFERROR(IF(INDEX(Proyectos!$W:$W,MATCH($A10,Proyectos!$C:$C,0))="","",INDEX(Proyectos!$W:$W,MATCH($A10,Proyectos!$C:$C,0))),"")</f>
        <v>46218</v>
      </c>
      <c r="N10" s="19">
        <f ca="1">IFERROR(INDEX(Proyectos!$X:$X,MATCH($A10,Proyectos!$C:$C,0)),"")</f>
        <v>19</v>
      </c>
      <c r="O10" s="21" t="str">
        <f>IFERROR(INDEX(Proyectos!$Y:$Y,MATCH($A10,Proyectos!$C:$C,0))&amp;"","")</f>
        <v>Cliente: Jhon Cabrera Sánchez. Dev histórico: Rubit.</v>
      </c>
      <c r="P10" s="23" t="s">
        <v>268</v>
      </c>
      <c r="Q10" s="23" t="s">
        <v>285</v>
      </c>
      <c r="R10" s="24"/>
    </row>
    <row r="11" ht="30" customHeight="1" spans="1:18">
      <c r="A11" s="16" t="s">
        <v>182</v>
      </c>
      <c r="B11" s="17">
        <f>IFERROR(IF(INDEX(Proyectos!$A:$A,MATCH($A11,Proyectos!$C:$C,0))="","",INDEX(Proyectos!$A:$A,MATCH($A11,Proyectos!$C:$C,0))),"")</f>
        <v>7</v>
      </c>
      <c r="C11" s="18" t="str">
        <f>IFERROR(INDEX(Proyectos!$B:$B,MATCH($A11,Proyectos!$C:$C,0))&amp;"","")</f>
        <v>070</v>
      </c>
      <c r="D11" s="19" t="str">
        <f>IFERROR(INDEX(Proyectos!$D:$D,MATCH($A11,Proyectos!$C:$C,0))&amp;"","")</f>
        <v/>
      </c>
      <c r="E11" s="19" t="str">
        <f>IFERROR(INDEX(Proyectos!$E:$E,MATCH($A11,Proyectos!$C:$C,0))&amp;"","")</f>
        <v>E-commerce</v>
      </c>
      <c r="F11" s="19" t="str">
        <f>IFERROR(INDEX(Proyectos!$F:$F,MATCH($A11,Proyectos!$C:$C,0))&amp;"","")</f>
        <v>Por definir</v>
      </c>
      <c r="G11" s="19" t="str">
        <f>IFERROR(INDEX(Proyectos!$G:$G,MATCH($A11,Proyectos!$C:$C,0))&amp;"","")</f>
        <v>Diseño</v>
      </c>
      <c r="H11" s="20" t="str">
        <f>IFERROR(INDEX(Proyectos!$K:$K,MATCH($A11,Proyectos!$C:$C,0))&amp;"","")</f>
        <v>A</v>
      </c>
      <c r="I11" s="21" t="str">
        <f ca="1">IFERROR(INDEX(Proyectos!$L:$L,MATCH($A11,Proyectos!$C:$C,0))&amp;"","")</f>
        <v>CONGELAR HOY</v>
      </c>
      <c r="J11" s="19" t="str">
        <f>IFERROR(INDEX(Proyectos!$P:$P,MATCH($A11,Proyectos!$C:$C,0))&amp;"","")</f>
        <v>Completo</v>
      </c>
      <c r="K11" s="19" t="str">
        <f>IFERROR(INDEX(Proyectos!$Q:$Q,MATCH($A11,Proyectos!$C:$C,0))&amp;"","")</f>
        <v>No enviada</v>
      </c>
      <c r="L11" s="21" t="str">
        <f>IFERROR(INDEX(Proyectos!$V:$V,MATCH($A11,Proyectos!$C:$C,0))&amp;"","")</f>
        <v>Material de diseño (brief y drive ya completados administrativamente)</v>
      </c>
      <c r="M11" s="22">
        <f>IFERROR(IF(INDEX(Proyectos!$W:$W,MATCH($A11,Proyectos!$C:$C,0))="","",INDEX(Proyectos!$W:$W,MATCH($A11,Proyectos!$C:$C,0))),"")</f>
        <v>46218</v>
      </c>
      <c r="N11" s="19">
        <f ca="1">IFERROR(INDEX(Proyectos!$X:$X,MATCH($A11,Proyectos!$C:$C,0)),"")</f>
        <v>19</v>
      </c>
      <c r="O11" s="21" t="str">
        <f>IFERROR(INDEX(Proyectos!$Y:$Y,MATCH($A11,Proyectos!$C:$C,0))&amp;"","")</f>
        <v>Cliente: Elvis Stefano. Dev histórico: Aarón.</v>
      </c>
      <c r="P11" s="23" t="s">
        <v>266</v>
      </c>
      <c r="Q11" s="23" t="s">
        <v>286</v>
      </c>
      <c r="R11" s="24"/>
    </row>
    <row r="12" ht="30" customHeight="1" spans="1:18">
      <c r="A12" s="16" t="s">
        <v>189</v>
      </c>
      <c r="B12" s="17">
        <f>IFERROR(IF(INDEX(Proyectos!$A:$A,MATCH($A12,Proyectos!$C:$C,0))="","",INDEX(Proyectos!$A:$A,MATCH($A12,Proyectos!$C:$C,0))),"")</f>
        <v>8</v>
      </c>
      <c r="C12" s="18" t="str">
        <f>IFERROR(INDEX(Proyectos!$B:$B,MATCH($A12,Proyectos!$C:$C,0))&amp;"","")</f>
        <v>073</v>
      </c>
      <c r="D12" s="19" t="str">
        <f>IFERROR(INDEX(Proyectos!$D:$D,MATCH($A12,Proyectos!$C:$C,0))&amp;"","")</f>
        <v/>
      </c>
      <c r="E12" s="19" t="str">
        <f>IFERROR(INDEX(Proyectos!$E:$E,MATCH($A12,Proyectos!$C:$C,0))&amp;"","")</f>
        <v>E-commerce</v>
      </c>
      <c r="F12" s="19" t="str">
        <f>IFERROR(INDEX(Proyectos!$F:$F,MATCH($A12,Proyectos!$C:$C,0))&amp;"","")</f>
        <v>Por definir</v>
      </c>
      <c r="G12" s="19" t="str">
        <f>IFERROR(INDEX(Proyectos!$G:$G,MATCH($A12,Proyectos!$C:$C,0))&amp;"","")</f>
        <v>Diseño</v>
      </c>
      <c r="H12" s="20" t="str">
        <f>IFERROR(INDEX(Proyectos!$K:$K,MATCH($A12,Proyectos!$C:$C,0))&amp;"","")</f>
        <v>A</v>
      </c>
      <c r="I12" s="21" t="str">
        <f ca="1">IFERROR(INDEX(Proyectos!$L:$L,MATCH($A12,Proyectos!$C:$C,0))&amp;"","")</f>
        <v>CONGELAR HOY</v>
      </c>
      <c r="J12" s="19" t="str">
        <f>IFERROR(INDEX(Proyectos!$P:$P,MATCH($A12,Proyectos!$C:$C,0))&amp;"","")</f>
        <v>Completo</v>
      </c>
      <c r="K12" s="19" t="str">
        <f>IFERROR(INDEX(Proyectos!$Q:$Q,MATCH($A12,Proyectos!$C:$C,0))&amp;"","")</f>
        <v>No enviada</v>
      </c>
      <c r="L12" s="21" t="str">
        <f>IFERROR(INDEX(Proyectos!$V:$V,MATCH($A12,Proyectos!$C:$C,0))&amp;"","")</f>
        <v>Materiales y activos del cliente para iniciar estructura de la tienda</v>
      </c>
      <c r="M12" s="22">
        <f>IFERROR(IF(INDEX(Proyectos!$W:$W,MATCH($A12,Proyectos!$C:$C,0))="","",INDEX(Proyectos!$W:$W,MATCH($A12,Proyectos!$C:$C,0))),"")</f>
        <v>46218</v>
      </c>
      <c r="N12" s="19">
        <f ca="1">IFERROR(INDEX(Proyectos!$X:$X,MATCH($A12,Proyectos!$C:$C,0)),"")</f>
        <v>19</v>
      </c>
      <c r="O12" s="21" t="str">
        <f>IFERROR(INDEX(Proyectos!$Y:$Y,MATCH($A12,Proyectos!$C:$C,0))&amp;"","")</f>
        <v>Cliente: Sharmely Zanabria Carmona. Dev histórico: Rubit. Enviar materiales logotipos y fotos</v>
      </c>
      <c r="P12" s="23" t="s">
        <v>263</v>
      </c>
      <c r="Q12" s="23"/>
      <c r="R12" s="24"/>
    </row>
    <row r="13" ht="30" customHeight="1" spans="1:18">
      <c r="A13" s="16" t="s">
        <v>96</v>
      </c>
      <c r="B13" s="17" t="str">
        <f>IFERROR(IF(INDEX(Proyectos!$A:$A,MATCH($A13,Proyectos!$C:$C,0))="","",INDEX(Proyectos!$A:$A,MATCH($A13,Proyectos!$C:$C,0))),"")</f>
        <v/>
      </c>
      <c r="C13" s="18" t="str">
        <f>IFERROR(INDEX(Proyectos!$B:$B,MATCH($A13,Proyectos!$C:$C,0))&amp;"","")</f>
        <v>036</v>
      </c>
      <c r="D13" s="19" t="str">
        <f>IFERROR(INDEX(Proyectos!$D:$D,MATCH($A13,Proyectos!$C:$C,0))&amp;"","")</f>
        <v/>
      </c>
      <c r="E13" s="19" t="str">
        <f>IFERROR(INDEX(Proyectos!$E:$E,MATCH($A13,Proyectos!$C:$C,0))&amp;"","")</f>
        <v>E-commerce</v>
      </c>
      <c r="F13" s="19" t="str">
        <f>IFERROR(INDEX(Proyectos!$F:$F,MATCH($A13,Proyectos!$C:$C,0))&amp;"","")</f>
        <v>Por definir</v>
      </c>
      <c r="G13" s="19" t="str">
        <f>IFERROR(INDEX(Proyectos!$G:$G,MATCH($A13,Proyectos!$C:$C,0))&amp;"","")</f>
        <v>Desarrollo</v>
      </c>
      <c r="H13" s="20" t="str">
        <f>IFERROR(INDEX(Proyectos!$K:$K,MATCH($A13,Proyectos!$C:$C,0))&amp;"","")</f>
        <v>A</v>
      </c>
      <c r="I13" s="21" t="str">
        <f ca="1">IFERROR(INDEX(Proyectos!$L:$L,MATCH($A13,Proyectos!$C:$C,0))&amp;"","")</f>
        <v>CONGELAR HOY</v>
      </c>
      <c r="J13" s="19" t="str">
        <f>IFERROR(INDEX(Proyectos!$P:$P,MATCH($A13,Proyectos!$C:$C,0))&amp;"","")</f>
        <v>Completo</v>
      </c>
      <c r="K13" s="19" t="str">
        <f>IFERROR(INDEX(Proyectos!$Q:$Q,MATCH($A13,Proyectos!$C:$C,0))&amp;"","")</f>
        <v>No enviada</v>
      </c>
      <c r="L13" s="21" t="str">
        <f>IFERROR(INDEX(Proyectos!$V:$V,MATCH($A13,Proyectos!$C:$C,0))&amp;"","")</f>
        <v>Reunión reprogramada + validación del cliente sobre carga de productos</v>
      </c>
      <c r="M13" s="22">
        <f>IFERROR(IF(INDEX(Proyectos!$W:$W,MATCH($A13,Proyectos!$C:$C,0))="","",INDEX(Proyectos!$W:$W,MATCH($A13,Proyectos!$C:$C,0))),"")</f>
        <v>46213</v>
      </c>
      <c r="N13" s="19">
        <f ca="1">IFERROR(INDEX(Proyectos!$X:$X,MATCH($A13,Proyectos!$C:$C,0)),"")</f>
        <v>24</v>
      </c>
      <c r="O13" s="21" t="str">
        <f>IFERROR(INDEX(Proyectos!$Y:$Y,MATCH($A13,Proyectos!$C:$C,0))&amp;"","")</f>
        <v>Cliente: Giancarlo Rosario. En transición de Aarón a Luis (aún no formalizada).</v>
      </c>
      <c r="P13" s="23" t="s">
        <v>271</v>
      </c>
      <c r="Q13" s="23"/>
      <c r="R13" s="24"/>
    </row>
    <row r="14" ht="30" customHeight="1" spans="1:18">
      <c r="A14" s="16" t="s">
        <v>100</v>
      </c>
      <c r="B14" s="17" t="str">
        <f>IFERROR(IF(INDEX(Proyectos!$A:$A,MATCH($A14,Proyectos!$C:$C,0))="","",INDEX(Proyectos!$A:$A,MATCH($A14,Proyectos!$C:$C,0))),"")</f>
        <v/>
      </c>
      <c r="C14" s="18" t="str">
        <f>IFERROR(INDEX(Proyectos!$B:$B,MATCH($A14,Proyectos!$C:$C,0))&amp;"","")</f>
        <v>038</v>
      </c>
      <c r="D14" s="19" t="str">
        <f>IFERROR(INDEX(Proyectos!$D:$D,MATCH($A14,Proyectos!$C:$C,0))&amp;"","")</f>
        <v/>
      </c>
      <c r="E14" s="19" t="str">
        <f>IFERROR(INDEX(Proyectos!$E:$E,MATCH($A14,Proyectos!$C:$C,0))&amp;"","")</f>
        <v>E-commerce</v>
      </c>
      <c r="F14" s="19" t="str">
        <f>IFERROR(INDEX(Proyectos!$F:$F,MATCH($A14,Proyectos!$C:$C,0))&amp;"","")</f>
        <v>Por definir</v>
      </c>
      <c r="G14" s="19" t="str">
        <f>IFERROR(INDEX(Proyectos!$G:$G,MATCH($A14,Proyectos!$C:$C,0))&amp;"","")</f>
        <v>Esperando material</v>
      </c>
      <c r="H14" s="20" t="str">
        <f>IFERROR(INDEX(Proyectos!$K:$K,MATCH($A14,Proyectos!$C:$C,0))&amp;"","")</f>
        <v>A</v>
      </c>
      <c r="I14" s="21" t="str">
        <f ca="1">IFERROR(INDEX(Proyectos!$L:$L,MATCH($A14,Proyectos!$C:$C,0))&amp;"","")</f>
        <v>Al día</v>
      </c>
      <c r="J14" s="19" t="str">
        <f>IFERROR(INDEX(Proyectos!$P:$P,MATCH($A14,Proyectos!$C:$C,0))&amp;"","")</f>
        <v>Completo</v>
      </c>
      <c r="K14" s="19" t="str">
        <f>IFERROR(INDEX(Proyectos!$Q:$Q,MATCH($A14,Proyectos!$C:$C,0))&amp;"","")</f>
        <v>Recibida con errores</v>
      </c>
      <c r="L14" s="21" t="str">
        <f>IFERROR(INDEX(Proyectos!$V:$V,MATCH($A14,Proyectos!$C:$C,0))&amp;"","")</f>
        <v>Material de diseño — brief llenado</v>
      </c>
      <c r="M14" s="22" t="str">
        <f>IFERROR(IF(INDEX(Proyectos!$W:$W,MATCH($A14,Proyectos!$C:$C,0))="","",INDEX(Proyectos!$W:$W,MATCH($A14,Proyectos!$C:$C,0))),"")</f>
        <v/>
      </c>
      <c r="N14" s="19" t="str">
        <f ca="1">IFERROR(INDEX(Proyectos!$X:$X,MATCH($A14,Proyectos!$C:$C,0)),"")</f>
        <v/>
      </c>
      <c r="O14" s="21" t="str">
        <f>IFERROR(INDEX(Proyectos!$Y:$Y,MATCH($A14,Proyectos!$C:$C,0))&amp;"","")</f>
        <v>Cliente: Gladys Poma. Dev histórico: Luis. 30% ya pagado según pizarra.</v>
      </c>
      <c r="P14" s="23" t="s">
        <v>263</v>
      </c>
      <c r="Q14" s="23"/>
      <c r="R14" s="24"/>
    </row>
    <row r="15" ht="30" customHeight="1" spans="1:18">
      <c r="A15" s="16" t="s">
        <v>105</v>
      </c>
      <c r="B15" s="17" t="str">
        <f>IFERROR(IF(INDEX(Proyectos!$A:$A,MATCH($A15,Proyectos!$C:$C,0))="","",INDEX(Proyectos!$A:$A,MATCH($A15,Proyectos!$C:$C,0))),"")</f>
        <v/>
      </c>
      <c r="C15" s="18" t="str">
        <f>IFERROR(INDEX(Proyectos!$B:$B,MATCH($A15,Proyectos!$C:$C,0))&amp;"","")</f>
        <v>040</v>
      </c>
      <c r="D15" s="19" t="str">
        <f>IFERROR(INDEX(Proyectos!$D:$D,MATCH($A15,Proyectos!$C:$C,0))&amp;"","")</f>
        <v/>
      </c>
      <c r="E15" s="19" t="str">
        <f>IFERROR(INDEX(Proyectos!$E:$E,MATCH($A15,Proyectos!$C:$C,0))&amp;"","")</f>
        <v>E-commerce</v>
      </c>
      <c r="F15" s="19" t="str">
        <f>IFERROR(INDEX(Proyectos!$F:$F,MATCH($A15,Proyectos!$C:$C,0))&amp;"","")</f>
        <v>Por definir</v>
      </c>
      <c r="G15" s="19" t="str">
        <f>IFERROR(INDEX(Proyectos!$G:$G,MATCH($A15,Proyectos!$C:$C,0))&amp;"","")</f>
        <v>Cerrado</v>
      </c>
      <c r="H15" s="20" t="str">
        <f>IFERROR(INDEX(Proyectos!$K:$K,MATCH($A15,Proyectos!$C:$C,0))&amp;"","")</f>
        <v>A</v>
      </c>
      <c r="I15" s="21" t="str">
        <f ca="1">IFERROR(INDEX(Proyectos!$L:$L,MATCH($A15,Proyectos!$C:$C,0))&amp;"","")</f>
        <v>CONGELAR HOY</v>
      </c>
      <c r="J15" s="19" t="str">
        <f>IFERROR(INDEX(Proyectos!$P:$P,MATCH($A15,Proyectos!$C:$C,0))&amp;"","")</f>
        <v>Completo</v>
      </c>
      <c r="K15" s="19" t="str">
        <f>IFERROR(INDEX(Proyectos!$Q:$Q,MATCH($A15,Proyectos!$C:$C,0))&amp;"","")</f>
        <v>Recibida con errores</v>
      </c>
      <c r="L15" s="21" t="str">
        <f>IFERROR(INDEX(Proyectos!$V:$V,MATCH($A15,Proyectos!$C:$C,0))&amp;"","")</f>
        <v>Nada — diseño aprobado</v>
      </c>
      <c r="M15" s="22">
        <f>IFERROR(IF(INDEX(Proyectos!$W:$W,MATCH($A15,Proyectos!$C:$C,0))="","",INDEX(Proyectos!$W:$W,MATCH($A15,Proyectos!$C:$C,0))),"")</f>
        <v>46200</v>
      </c>
      <c r="N15" s="19">
        <f ca="1">IFERROR(INDEX(Proyectos!$X:$X,MATCH($A15,Proyectos!$C:$C,0)),"")</f>
        <v>37</v>
      </c>
      <c r="O15" s="21" t="str">
        <f>IFERROR(INDEX(Proyectos!$Y:$Y,MATCH($A15,Proyectos!$C:$C,0))&amp;"","")</f>
        <v>Cliente: Liliana y Javier.</v>
      </c>
      <c r="P15" s="23" t="s">
        <v>271</v>
      </c>
      <c r="Q15" s="23"/>
      <c r="R15" s="24"/>
    </row>
    <row r="16" ht="30" customHeight="1" spans="1:18">
      <c r="A16" s="16" t="s">
        <v>119</v>
      </c>
      <c r="B16" s="17" t="str">
        <f>IFERROR(IF(INDEX(Proyectos!$A:$A,MATCH($A16,Proyectos!$C:$C,0))="","",INDEX(Proyectos!$A:$A,MATCH($A16,Proyectos!$C:$C,0))),"")</f>
        <v/>
      </c>
      <c r="C16" s="18" t="str">
        <f>IFERROR(INDEX(Proyectos!$B:$B,MATCH($A16,Proyectos!$C:$C,0))&amp;"","")</f>
        <v>053</v>
      </c>
      <c r="D16" s="19" t="str">
        <f>IFERROR(INDEX(Proyectos!$D:$D,MATCH($A16,Proyectos!$C:$C,0))&amp;"","")</f>
        <v/>
      </c>
      <c r="E16" s="19" t="str">
        <f>IFERROR(INDEX(Proyectos!$E:$E,MATCH($A16,Proyectos!$C:$C,0))&amp;"","")</f>
        <v>Informativa</v>
      </c>
      <c r="F16" s="19" t="str">
        <f>IFERROR(INDEX(Proyectos!$F:$F,MATCH($A16,Proyectos!$C:$C,0))&amp;"","")</f>
        <v>Por definir</v>
      </c>
      <c r="G16" s="19" t="str">
        <f>IFERROR(INDEX(Proyectos!$G:$G,MATCH($A16,Proyectos!$C:$C,0))&amp;"","")</f>
        <v>Desarrollo</v>
      </c>
      <c r="H16" s="20" t="str">
        <f>IFERROR(INDEX(Proyectos!$K:$K,MATCH($A16,Proyectos!$C:$C,0))&amp;"","")</f>
        <v>A</v>
      </c>
      <c r="I16" s="21" t="str">
        <f ca="1">IFERROR(INDEX(Proyectos!$L:$L,MATCH($A16,Proyectos!$C:$C,0))&amp;"","")</f>
        <v>CONGELAR HOY</v>
      </c>
      <c r="J16" s="19" t="str">
        <f>IFERROR(INDEX(Proyectos!$P:$P,MATCH($A16,Proyectos!$C:$C,0))&amp;"","")</f>
        <v>Completo</v>
      </c>
      <c r="K16" s="19" t="str">
        <f>IFERROR(INDEX(Proyectos!$Q:$Q,MATCH($A16,Proyectos!$C:$C,0))&amp;"","")</f>
        <v>No aplica</v>
      </c>
      <c r="L16" s="21" t="str">
        <f>IFERROR(INDEX(Proyectos!$V:$V,MATCH($A16,Proyectos!$C:$C,0))&amp;"","")</f>
        <v>Validación de diseño en paralelo al desarrollo</v>
      </c>
      <c r="M16" s="22">
        <f>IFERROR(IF(INDEX(Proyectos!$W:$W,MATCH($A16,Proyectos!$C:$C,0))="","",INDEX(Proyectos!$W:$W,MATCH($A16,Proyectos!$C:$C,0))),"")</f>
        <v>46212</v>
      </c>
      <c r="N16" s="19">
        <f ca="1">IFERROR(INDEX(Proyectos!$X:$X,MATCH($A16,Proyectos!$C:$C,0)),"")</f>
        <v>25</v>
      </c>
      <c r="O16" s="21" t="str">
        <f>IFERROR(INDEX(Proyectos!$Y:$Y,MATCH($A16,Proyectos!$C:$C,0))&amp;"","")</f>
        <v>Cliente: Jenifer y Jorge. 30% pagado.</v>
      </c>
      <c r="P16" s="23" t="s">
        <v>271</v>
      </c>
      <c r="Q16" s="23"/>
      <c r="R16" s="24"/>
    </row>
    <row r="17" ht="30" customHeight="1" spans="1:18">
      <c r="A17" s="16" t="s">
        <v>141</v>
      </c>
      <c r="B17" s="17" t="str">
        <f>IFERROR(IF(INDEX(Proyectos!$A:$A,MATCH($A17,Proyectos!$C:$C,0))="","",INDEX(Proyectos!$A:$A,MATCH($A17,Proyectos!$C:$C,0))),"")</f>
        <v/>
      </c>
      <c r="C17" s="18" t="str">
        <f>IFERROR(INDEX(Proyectos!$B:$B,MATCH($A17,Proyectos!$C:$C,0))&amp;"","")</f>
        <v>059</v>
      </c>
      <c r="D17" s="19" t="str">
        <f>IFERROR(INDEX(Proyectos!$D:$D,MATCH($A17,Proyectos!$C:$C,0))&amp;"","")</f>
        <v/>
      </c>
      <c r="E17" s="19" t="str">
        <f>IFERROR(INDEX(Proyectos!$E:$E,MATCH($A17,Proyectos!$C:$C,0))&amp;"","")</f>
        <v>E-commerce</v>
      </c>
      <c r="F17" s="19" t="str">
        <f>IFERROR(INDEX(Proyectos!$F:$F,MATCH($A17,Proyectos!$C:$C,0))&amp;"","")</f>
        <v>Por definir</v>
      </c>
      <c r="G17" s="19" t="str">
        <f>IFERROR(INDEX(Proyectos!$G:$G,MATCH($A17,Proyectos!$C:$C,0))&amp;"","")</f>
        <v>Desarrollo</v>
      </c>
      <c r="H17" s="20" t="str">
        <f>IFERROR(INDEX(Proyectos!$K:$K,MATCH($A17,Proyectos!$C:$C,0))&amp;"","")</f>
        <v>A</v>
      </c>
      <c r="I17" s="21" t="str">
        <f ca="1">IFERROR(INDEX(Proyectos!$L:$L,MATCH($A17,Proyectos!$C:$C,0))&amp;"","")</f>
        <v>CONGELAR HOY</v>
      </c>
      <c r="J17" s="19" t="str">
        <f>IFERROR(INDEX(Proyectos!$P:$P,MATCH($A17,Proyectos!$C:$C,0))&amp;"","")</f>
        <v>Completo</v>
      </c>
      <c r="K17" s="19" t="str">
        <f>IFERROR(INDEX(Proyectos!$Q:$Q,MATCH($A17,Proyectos!$C:$C,0))&amp;"","")</f>
        <v>No aplica</v>
      </c>
      <c r="L17" s="21" t="str">
        <f>IFERROR(INDEX(Proyectos!$V:$V,MATCH($A17,Proyectos!$C:$C,0))&amp;"","")</f>
        <v>Nada — en implementación, cliente informado y disponible</v>
      </c>
      <c r="M17" s="22">
        <f>IFERROR(IF(INDEX(Proyectos!$W:$W,MATCH($A17,Proyectos!$C:$C,0))="","",INDEX(Proyectos!$W:$W,MATCH($A17,Proyectos!$C:$C,0))),"")</f>
        <v>46218</v>
      </c>
      <c r="N17" s="19">
        <f ca="1">IFERROR(INDEX(Proyectos!$X:$X,MATCH($A17,Proyectos!$C:$C,0)),"")</f>
        <v>19</v>
      </c>
      <c r="O17" s="21" t="str">
        <f>IFERROR(INDEX(Proyectos!$Y:$Y,MATCH($A17,Proyectos!$C:$C,0))&amp;"","")</f>
        <v>Cliente: Juan. - Cita viernes 24-07</v>
      </c>
      <c r="P17" s="23" t="s">
        <v>271</v>
      </c>
      <c r="Q17" s="23"/>
      <c r="R17" s="24"/>
    </row>
    <row r="18" ht="30" customHeight="1" spans="1:18">
      <c r="A18" s="16" t="s">
        <v>155</v>
      </c>
      <c r="B18" s="17" t="str">
        <f>IFERROR(IF(INDEX(Proyectos!$A:$A,MATCH($A18,Proyectos!$C:$C,0))="","",INDEX(Proyectos!$A:$A,MATCH($A18,Proyectos!$C:$C,0))),"")</f>
        <v/>
      </c>
      <c r="C18" s="18" t="str">
        <f>IFERROR(INDEX(Proyectos!$B:$B,MATCH($A18,Proyectos!$C:$C,0))&amp;"","")</f>
        <v>064</v>
      </c>
      <c r="D18" s="19" t="str">
        <f>IFERROR(INDEX(Proyectos!$D:$D,MATCH($A18,Proyectos!$C:$C,0))&amp;"","")</f>
        <v/>
      </c>
      <c r="E18" s="19" t="str">
        <f>IFERROR(INDEX(Proyectos!$E:$E,MATCH($A18,Proyectos!$C:$C,0))&amp;"","")</f>
        <v>Informativa</v>
      </c>
      <c r="F18" s="19" t="str">
        <f>IFERROR(INDEX(Proyectos!$F:$F,MATCH($A18,Proyectos!$C:$C,0))&amp;"","")</f>
        <v>Por definir</v>
      </c>
      <c r="G18" s="19" t="str">
        <f>IFERROR(INDEX(Proyectos!$G:$G,MATCH($A18,Proyectos!$C:$C,0))&amp;"","")</f>
        <v>Desarrollo</v>
      </c>
      <c r="H18" s="20" t="str">
        <f>IFERROR(INDEX(Proyectos!$K:$K,MATCH($A18,Proyectos!$C:$C,0))&amp;"","")</f>
        <v>A</v>
      </c>
      <c r="I18" s="21" t="str">
        <f ca="1">IFERROR(INDEX(Proyectos!$L:$L,MATCH($A18,Proyectos!$C:$C,0))&amp;"","")</f>
        <v>CONGELAR HOY</v>
      </c>
      <c r="J18" s="19" t="str">
        <f>IFERROR(INDEX(Proyectos!$P:$P,MATCH($A18,Proyectos!$C:$C,0))&amp;"","")</f>
        <v>Completo</v>
      </c>
      <c r="K18" s="19" t="str">
        <f>IFERROR(INDEX(Proyectos!$Q:$Q,MATCH($A18,Proyectos!$C:$C,0))&amp;"","")</f>
        <v>No aplica</v>
      </c>
      <c r="L18" s="21" t="str">
        <f>IFERROR(INDEX(Proyectos!$V:$V,MATCH($A18,Proyectos!$C:$C,0))&amp;"","")</f>
        <v>Integración de contenidos finales del cliente</v>
      </c>
      <c r="M18" s="22">
        <f>IFERROR(IF(INDEX(Proyectos!$W:$W,MATCH($A18,Proyectos!$C:$C,0))="","",INDEX(Proyectos!$W:$W,MATCH($A18,Proyectos!$C:$C,0))),"")</f>
        <v>46219</v>
      </c>
      <c r="N18" s="19">
        <f ca="1">IFERROR(INDEX(Proyectos!$X:$X,MATCH($A18,Proyectos!$C:$C,0)),"")</f>
        <v>18</v>
      </c>
      <c r="O18" s="21" t="str">
        <f>IFERROR(INDEX(Proyectos!$Y:$Y,MATCH($A18,Proyectos!$C:$C,0))&amp;"","")</f>
        <v>Cliente: Reina. 30% en camino/confirmado. Sin developer confirmado — asignar.</v>
      </c>
      <c r="P18" s="23" t="s">
        <v>271</v>
      </c>
      <c r="Q18" s="23"/>
      <c r="R18" s="24"/>
    </row>
    <row r="19" ht="30" customHeight="1" spans="1:18">
      <c r="A19" s="16" t="s">
        <v>221</v>
      </c>
      <c r="B19" s="17" t="str">
        <f>IFERROR(IF(INDEX(Proyectos!$A:$A,MATCH($A19,Proyectos!$C:$C,0))="","",INDEX(Proyectos!$A:$A,MATCH($A19,Proyectos!$C:$C,0))),"")</f>
        <v/>
      </c>
      <c r="C19" s="18" t="str">
        <f>IFERROR(INDEX(Proyectos!$B:$B,MATCH($A19,Proyectos!$C:$C,0))&amp;"","")</f>
        <v/>
      </c>
      <c r="D19" s="19" t="str">
        <f>IFERROR(INDEX(Proyectos!$D:$D,MATCH($A19,Proyectos!$C:$C,0))&amp;"","")</f>
        <v/>
      </c>
      <c r="E19" s="19" t="str">
        <f>IFERROR(INDEX(Proyectos!$E:$E,MATCH($A19,Proyectos!$C:$C,0))&amp;"","")</f>
        <v>E-commerce</v>
      </c>
      <c r="F19" s="19" t="str">
        <f>IFERROR(INDEX(Proyectos!$F:$F,MATCH($A19,Proyectos!$C:$C,0))&amp;"","")</f>
        <v>Por definir</v>
      </c>
      <c r="G19" s="19" t="str">
        <f>IFERROR(INDEX(Proyectos!$G:$G,MATCH($A19,Proyectos!$C:$C,0))&amp;"","")</f>
        <v>Cerrado</v>
      </c>
      <c r="H19" s="20" t="str">
        <f>IFERROR(INDEX(Proyectos!$K:$K,MATCH($A19,Proyectos!$C:$C,0))&amp;"","")</f>
        <v>A</v>
      </c>
      <c r="I19" s="21" t="str">
        <f ca="1">IFERROR(INDEX(Proyectos!$L:$L,MATCH($A19,Proyectos!$C:$C,0))&amp;"","")</f>
        <v>Al día</v>
      </c>
      <c r="J19" s="19" t="str">
        <f>IFERROR(INDEX(Proyectos!$P:$P,MATCH($A19,Proyectos!$C:$C,0))&amp;"","")</f>
        <v>Completo</v>
      </c>
      <c r="K19" s="19" t="str">
        <f>IFERROR(INDEX(Proyectos!$Q:$Q,MATCH($A19,Proyectos!$C:$C,0))&amp;"","")</f>
        <v>Recibida y validada</v>
      </c>
      <c r="L19" s="21" t="str">
        <f>IFERROR(INDEX(Proyectos!$V:$V,MATCH($A19,Proyectos!$C:$C,0))&amp;"","")</f>
        <v>Todo — lead sin pago ni código</v>
      </c>
      <c r="M19" s="22" t="str">
        <f>IFERROR(IF(INDEX(Proyectos!$W:$W,MATCH($A19,Proyectos!$C:$C,0))="","",INDEX(Proyectos!$W:$W,MATCH($A19,Proyectos!$C:$C,0))),"")</f>
        <v/>
      </c>
      <c r="N19" s="19" t="str">
        <f ca="1">IFERROR(INDEX(Proyectos!$X:$X,MATCH($A19,Proyectos!$C:$C,0)),"")</f>
        <v/>
      </c>
      <c r="O19" s="21" t="str">
        <f>IFERROR(INDEX(Proyectos!$Y:$Y,MATCH($A19,Proyectos!$C:$C,0))&amp;"","")</f>
        <v>Cliente: Joselyn Mendoza Vasquez.</v>
      </c>
      <c r="P19" s="23" t="s">
        <v>271</v>
      </c>
      <c r="Q19" s="23"/>
      <c r="R19" s="24"/>
    </row>
    <row r="20" ht="30" customHeight="1" spans="1:18">
      <c r="A20" s="16"/>
      <c r="B20" s="17" t="str">
        <f>IFERROR(IF(INDEX(Proyectos!$A:$A,MATCH($A20,Proyectos!$C:$C,0))="","",INDEX(Proyectos!$A:$A,MATCH($A20,Proyectos!$C:$C,0))),"")</f>
        <v/>
      </c>
      <c r="C20" s="18" t="str">
        <f>IFERROR(INDEX(Proyectos!$B:$B,MATCH($A20,Proyectos!$C:$C,0))&amp;"","")</f>
        <v/>
      </c>
      <c r="D20" s="19" t="str">
        <f>IFERROR(INDEX(Proyectos!$D:$D,MATCH($A20,Proyectos!$C:$C,0))&amp;"","")</f>
        <v/>
      </c>
      <c r="E20" s="19" t="str">
        <f>IFERROR(INDEX(Proyectos!$E:$E,MATCH($A20,Proyectos!$C:$C,0))&amp;"","")</f>
        <v/>
      </c>
      <c r="F20" s="19" t="str">
        <f>IFERROR(INDEX(Proyectos!$F:$F,MATCH($A20,Proyectos!$C:$C,0))&amp;"","")</f>
        <v/>
      </c>
      <c r="G20" s="19" t="str">
        <f>IFERROR(INDEX(Proyectos!$G:$G,MATCH($A20,Proyectos!$C:$C,0))&amp;"","")</f>
        <v/>
      </c>
      <c r="H20" s="20" t="str">
        <f>IFERROR(INDEX(Proyectos!$K:$K,MATCH($A20,Proyectos!$C:$C,0))&amp;"","")</f>
        <v/>
      </c>
      <c r="I20" s="21" t="str">
        <f ca="1">IFERROR(INDEX(Proyectos!$L:$L,MATCH($A20,Proyectos!$C:$C,0))&amp;"","")</f>
        <v/>
      </c>
      <c r="J20" s="19" t="str">
        <f>IFERROR(INDEX(Proyectos!$P:$P,MATCH($A20,Proyectos!$C:$C,0))&amp;"","")</f>
        <v/>
      </c>
      <c r="K20" s="19" t="str">
        <f>IFERROR(INDEX(Proyectos!$Q:$Q,MATCH($A20,Proyectos!$C:$C,0))&amp;"","")</f>
        <v/>
      </c>
      <c r="L20" s="21" t="str">
        <f>IFERROR(INDEX(Proyectos!$V:$V,MATCH($A20,Proyectos!$C:$C,0))&amp;"","")</f>
        <v/>
      </c>
      <c r="M20" s="22" t="str">
        <f>IFERROR(IF(INDEX(Proyectos!$W:$W,MATCH($A20,Proyectos!$C:$C,0))="","",INDEX(Proyectos!$W:$W,MATCH($A20,Proyectos!$C:$C,0))),"")</f>
        <v/>
      </c>
      <c r="N20" s="19" t="str">
        <f ca="1">IFERROR(INDEX(Proyectos!$X:$X,MATCH($A20,Proyectos!$C:$C,0)),"")</f>
        <v/>
      </c>
      <c r="O20" s="21" t="str">
        <f>IFERROR(INDEX(Proyectos!$Y:$Y,MATCH($A20,Proyectos!$C:$C,0))&amp;"","")</f>
        <v/>
      </c>
      <c r="P20" s="23"/>
      <c r="Q20" s="23"/>
      <c r="R20" s="24"/>
    </row>
    <row r="21" ht="30" customHeight="1" spans="1:18">
      <c r="A21" s="16"/>
      <c r="B21" s="17" t="str">
        <f>IFERROR(IF(INDEX(Proyectos!$A:$A,MATCH($A21,Proyectos!$C:$C,0))="","",INDEX(Proyectos!$A:$A,MATCH($A21,Proyectos!$C:$C,0))),"")</f>
        <v/>
      </c>
      <c r="C21" s="18" t="str">
        <f>IFERROR(INDEX(Proyectos!$B:$B,MATCH($A21,Proyectos!$C:$C,0))&amp;"","")</f>
        <v/>
      </c>
      <c r="D21" s="19" t="str">
        <f>IFERROR(INDEX(Proyectos!$D:$D,MATCH($A21,Proyectos!$C:$C,0))&amp;"","")</f>
        <v/>
      </c>
      <c r="E21" s="19" t="str">
        <f>IFERROR(INDEX(Proyectos!$E:$E,MATCH($A21,Proyectos!$C:$C,0))&amp;"","")</f>
        <v/>
      </c>
      <c r="F21" s="19" t="str">
        <f>IFERROR(INDEX(Proyectos!$F:$F,MATCH($A21,Proyectos!$C:$C,0))&amp;"","")</f>
        <v/>
      </c>
      <c r="G21" s="19" t="str">
        <f>IFERROR(INDEX(Proyectos!$G:$G,MATCH($A21,Proyectos!$C:$C,0))&amp;"","")</f>
        <v/>
      </c>
      <c r="H21" s="20" t="str">
        <f>IFERROR(INDEX(Proyectos!$K:$K,MATCH($A21,Proyectos!$C:$C,0))&amp;"","")</f>
        <v/>
      </c>
      <c r="I21" s="21" t="str">
        <f ca="1">IFERROR(INDEX(Proyectos!$L:$L,MATCH($A21,Proyectos!$C:$C,0))&amp;"","")</f>
        <v/>
      </c>
      <c r="J21" s="19" t="str">
        <f>IFERROR(INDEX(Proyectos!$P:$P,MATCH($A21,Proyectos!$C:$C,0))&amp;"","")</f>
        <v/>
      </c>
      <c r="K21" s="19" t="str">
        <f>IFERROR(INDEX(Proyectos!$Q:$Q,MATCH($A21,Proyectos!$C:$C,0))&amp;"","")</f>
        <v/>
      </c>
      <c r="L21" s="21" t="str">
        <f>IFERROR(INDEX(Proyectos!$V:$V,MATCH($A21,Proyectos!$C:$C,0))&amp;"","")</f>
        <v/>
      </c>
      <c r="M21" s="22" t="str">
        <f>IFERROR(IF(INDEX(Proyectos!$W:$W,MATCH($A21,Proyectos!$C:$C,0))="","",INDEX(Proyectos!$W:$W,MATCH($A21,Proyectos!$C:$C,0))),"")</f>
        <v/>
      </c>
      <c r="N21" s="19" t="str">
        <f ca="1">IFERROR(INDEX(Proyectos!$X:$X,MATCH($A21,Proyectos!$C:$C,0)),"")</f>
        <v/>
      </c>
      <c r="O21" s="21" t="str">
        <f>IFERROR(INDEX(Proyectos!$Y:$Y,MATCH($A21,Proyectos!$C:$C,0))&amp;"","")</f>
        <v/>
      </c>
      <c r="P21" s="23"/>
      <c r="Q21" s="23"/>
      <c r="R21" s="24"/>
    </row>
    <row r="22" ht="30" customHeight="1" spans="1:18">
      <c r="A22" s="16"/>
      <c r="B22" s="17" t="str">
        <f>IFERROR(IF(INDEX(Proyectos!$A:$A,MATCH($A22,Proyectos!$C:$C,0))="","",INDEX(Proyectos!$A:$A,MATCH($A22,Proyectos!$C:$C,0))),"")</f>
        <v/>
      </c>
      <c r="C22" s="18" t="str">
        <f>IFERROR(INDEX(Proyectos!$B:$B,MATCH($A22,Proyectos!$C:$C,0))&amp;"","")</f>
        <v/>
      </c>
      <c r="D22" s="19" t="str">
        <f>IFERROR(INDEX(Proyectos!$D:$D,MATCH($A22,Proyectos!$C:$C,0))&amp;"","")</f>
        <v/>
      </c>
      <c r="E22" s="19" t="str">
        <f>IFERROR(INDEX(Proyectos!$E:$E,MATCH($A22,Proyectos!$C:$C,0))&amp;"","")</f>
        <v/>
      </c>
      <c r="F22" s="19" t="str">
        <f>IFERROR(INDEX(Proyectos!$F:$F,MATCH($A22,Proyectos!$C:$C,0))&amp;"","")</f>
        <v/>
      </c>
      <c r="G22" s="19" t="str">
        <f>IFERROR(INDEX(Proyectos!$G:$G,MATCH($A22,Proyectos!$C:$C,0))&amp;"","")</f>
        <v/>
      </c>
      <c r="H22" s="20" t="str">
        <f>IFERROR(INDEX(Proyectos!$K:$K,MATCH($A22,Proyectos!$C:$C,0))&amp;"","")</f>
        <v/>
      </c>
      <c r="I22" s="21" t="str">
        <f ca="1">IFERROR(INDEX(Proyectos!$L:$L,MATCH($A22,Proyectos!$C:$C,0))&amp;"","")</f>
        <v/>
      </c>
      <c r="J22" s="19" t="str">
        <f>IFERROR(INDEX(Proyectos!$P:$P,MATCH($A22,Proyectos!$C:$C,0))&amp;"","")</f>
        <v/>
      </c>
      <c r="K22" s="19" t="str">
        <f>IFERROR(INDEX(Proyectos!$Q:$Q,MATCH($A22,Proyectos!$C:$C,0))&amp;"","")</f>
        <v/>
      </c>
      <c r="L22" s="21" t="str">
        <f>IFERROR(INDEX(Proyectos!$V:$V,MATCH($A22,Proyectos!$C:$C,0))&amp;"","")</f>
        <v/>
      </c>
      <c r="M22" s="22" t="str">
        <f>IFERROR(IF(INDEX(Proyectos!$W:$W,MATCH($A22,Proyectos!$C:$C,0))="","",INDEX(Proyectos!$W:$W,MATCH($A22,Proyectos!$C:$C,0))),"")</f>
        <v/>
      </c>
      <c r="N22" s="19" t="str">
        <f ca="1">IFERROR(INDEX(Proyectos!$X:$X,MATCH($A22,Proyectos!$C:$C,0)),"")</f>
        <v/>
      </c>
      <c r="O22" s="21" t="str">
        <f>IFERROR(INDEX(Proyectos!$Y:$Y,MATCH($A22,Proyectos!$C:$C,0))&amp;"","")</f>
        <v/>
      </c>
      <c r="P22" s="23"/>
      <c r="Q22" s="23"/>
      <c r="R22" s="24"/>
    </row>
    <row r="23" ht="30" customHeight="1" spans="1:18">
      <c r="A23" s="16"/>
      <c r="B23" s="17" t="str">
        <f>IFERROR(IF(INDEX(Proyectos!$A:$A,MATCH($A23,Proyectos!$C:$C,0))="","",INDEX(Proyectos!$A:$A,MATCH($A23,Proyectos!$C:$C,0))),"")</f>
        <v/>
      </c>
      <c r="C23" s="18" t="str">
        <f>IFERROR(INDEX(Proyectos!$B:$B,MATCH($A23,Proyectos!$C:$C,0))&amp;"","")</f>
        <v/>
      </c>
      <c r="D23" s="19" t="str">
        <f>IFERROR(INDEX(Proyectos!$D:$D,MATCH($A23,Proyectos!$C:$C,0))&amp;"","")</f>
        <v/>
      </c>
      <c r="E23" s="19" t="str">
        <f>IFERROR(INDEX(Proyectos!$E:$E,MATCH($A23,Proyectos!$C:$C,0))&amp;"","")</f>
        <v/>
      </c>
      <c r="F23" s="19" t="str">
        <f>IFERROR(INDEX(Proyectos!$F:$F,MATCH($A23,Proyectos!$C:$C,0))&amp;"","")</f>
        <v/>
      </c>
      <c r="G23" s="19" t="str">
        <f>IFERROR(INDEX(Proyectos!$G:$G,MATCH($A23,Proyectos!$C:$C,0))&amp;"","")</f>
        <v/>
      </c>
      <c r="H23" s="20" t="str">
        <f>IFERROR(INDEX(Proyectos!$K:$K,MATCH($A23,Proyectos!$C:$C,0))&amp;"","")</f>
        <v/>
      </c>
      <c r="I23" s="21" t="str">
        <f ca="1">IFERROR(INDEX(Proyectos!$L:$L,MATCH($A23,Proyectos!$C:$C,0))&amp;"","")</f>
        <v/>
      </c>
      <c r="J23" s="19" t="str">
        <f>IFERROR(INDEX(Proyectos!$P:$P,MATCH($A23,Proyectos!$C:$C,0))&amp;"","")</f>
        <v/>
      </c>
      <c r="K23" s="19" t="str">
        <f>IFERROR(INDEX(Proyectos!$Q:$Q,MATCH($A23,Proyectos!$C:$C,0))&amp;"","")</f>
        <v/>
      </c>
      <c r="L23" s="21" t="str">
        <f>IFERROR(INDEX(Proyectos!$V:$V,MATCH($A23,Proyectos!$C:$C,0))&amp;"","")</f>
        <v/>
      </c>
      <c r="M23" s="22" t="str">
        <f>IFERROR(IF(INDEX(Proyectos!$W:$W,MATCH($A23,Proyectos!$C:$C,0))="","",INDEX(Proyectos!$W:$W,MATCH($A23,Proyectos!$C:$C,0))),"")</f>
        <v/>
      </c>
      <c r="N23" s="19" t="str">
        <f ca="1">IFERROR(INDEX(Proyectos!$X:$X,MATCH($A23,Proyectos!$C:$C,0)),"")</f>
        <v/>
      </c>
      <c r="O23" s="21" t="str">
        <f>IFERROR(INDEX(Proyectos!$Y:$Y,MATCH($A23,Proyectos!$C:$C,0))&amp;"","")</f>
        <v/>
      </c>
      <c r="P23" s="23"/>
      <c r="Q23" s="23"/>
      <c r="R23" s="24"/>
    </row>
    <row r="24" ht="30" customHeight="1" spans="1:18">
      <c r="A24" s="16"/>
      <c r="B24" s="17" t="str">
        <f>IFERROR(IF(INDEX(Proyectos!$A:$A,MATCH($A24,Proyectos!$C:$C,0))="","",INDEX(Proyectos!$A:$A,MATCH($A24,Proyectos!$C:$C,0))),"")</f>
        <v/>
      </c>
      <c r="C24" s="18" t="str">
        <f>IFERROR(INDEX(Proyectos!$B:$B,MATCH($A24,Proyectos!$C:$C,0))&amp;"","")</f>
        <v/>
      </c>
      <c r="D24" s="19" t="str">
        <f>IFERROR(INDEX(Proyectos!$D:$D,MATCH($A24,Proyectos!$C:$C,0))&amp;"","")</f>
        <v/>
      </c>
      <c r="E24" s="19" t="str">
        <f>IFERROR(INDEX(Proyectos!$E:$E,MATCH($A24,Proyectos!$C:$C,0))&amp;"","")</f>
        <v/>
      </c>
      <c r="F24" s="19" t="str">
        <f>IFERROR(INDEX(Proyectos!$F:$F,MATCH($A24,Proyectos!$C:$C,0))&amp;"","")</f>
        <v/>
      </c>
      <c r="G24" s="19" t="str">
        <f>IFERROR(INDEX(Proyectos!$G:$G,MATCH($A24,Proyectos!$C:$C,0))&amp;"","")</f>
        <v/>
      </c>
      <c r="H24" s="20" t="str">
        <f>IFERROR(INDEX(Proyectos!$K:$K,MATCH($A24,Proyectos!$C:$C,0))&amp;"","")</f>
        <v/>
      </c>
      <c r="I24" s="21" t="str">
        <f ca="1">IFERROR(INDEX(Proyectos!$L:$L,MATCH($A24,Proyectos!$C:$C,0))&amp;"","")</f>
        <v/>
      </c>
      <c r="J24" s="19" t="str">
        <f>IFERROR(INDEX(Proyectos!$P:$P,MATCH($A24,Proyectos!$C:$C,0))&amp;"","")</f>
        <v/>
      </c>
      <c r="K24" s="19" t="str">
        <f>IFERROR(INDEX(Proyectos!$Q:$Q,MATCH($A24,Proyectos!$C:$C,0))&amp;"","")</f>
        <v/>
      </c>
      <c r="L24" s="21" t="str">
        <f>IFERROR(INDEX(Proyectos!$V:$V,MATCH($A24,Proyectos!$C:$C,0))&amp;"","")</f>
        <v/>
      </c>
      <c r="M24" s="22" t="str">
        <f>IFERROR(IF(INDEX(Proyectos!$W:$W,MATCH($A24,Proyectos!$C:$C,0))="","",INDEX(Proyectos!$W:$W,MATCH($A24,Proyectos!$C:$C,0))),"")</f>
        <v/>
      </c>
      <c r="N24" s="19" t="str">
        <f ca="1">IFERROR(INDEX(Proyectos!$X:$X,MATCH($A24,Proyectos!$C:$C,0)),"")</f>
        <v/>
      </c>
      <c r="O24" s="21" t="str">
        <f>IFERROR(INDEX(Proyectos!$Y:$Y,MATCH($A24,Proyectos!$C:$C,0))&amp;"","")</f>
        <v/>
      </c>
      <c r="P24" s="23"/>
      <c r="Q24" s="23"/>
      <c r="R24" s="24"/>
    </row>
    <row r="25" ht="30" customHeight="1" spans="1:18">
      <c r="A25" s="16"/>
      <c r="B25" s="17" t="str">
        <f>IFERROR(IF(INDEX(Proyectos!$A:$A,MATCH($A25,Proyectos!$C:$C,0))="","",INDEX(Proyectos!$A:$A,MATCH($A25,Proyectos!$C:$C,0))),"")</f>
        <v/>
      </c>
      <c r="C25" s="18" t="str">
        <f>IFERROR(INDEX(Proyectos!$B:$B,MATCH($A25,Proyectos!$C:$C,0))&amp;"","")</f>
        <v/>
      </c>
      <c r="D25" s="19" t="str">
        <f>IFERROR(INDEX(Proyectos!$D:$D,MATCH($A25,Proyectos!$C:$C,0))&amp;"","")</f>
        <v/>
      </c>
      <c r="E25" s="19" t="str">
        <f>IFERROR(INDEX(Proyectos!$E:$E,MATCH($A25,Proyectos!$C:$C,0))&amp;"","")</f>
        <v/>
      </c>
      <c r="F25" s="19" t="str">
        <f>IFERROR(INDEX(Proyectos!$F:$F,MATCH($A25,Proyectos!$C:$C,0))&amp;"","")</f>
        <v/>
      </c>
      <c r="G25" s="19" t="str">
        <f>IFERROR(INDEX(Proyectos!$G:$G,MATCH($A25,Proyectos!$C:$C,0))&amp;"","")</f>
        <v/>
      </c>
      <c r="H25" s="20" t="str">
        <f>IFERROR(INDEX(Proyectos!$K:$K,MATCH($A25,Proyectos!$C:$C,0))&amp;"","")</f>
        <v/>
      </c>
      <c r="I25" s="21" t="str">
        <f ca="1">IFERROR(INDEX(Proyectos!$L:$L,MATCH($A25,Proyectos!$C:$C,0))&amp;"","")</f>
        <v/>
      </c>
      <c r="J25" s="19" t="str">
        <f>IFERROR(INDEX(Proyectos!$P:$P,MATCH($A25,Proyectos!$C:$C,0))&amp;"","")</f>
        <v/>
      </c>
      <c r="K25" s="19" t="str">
        <f>IFERROR(INDEX(Proyectos!$Q:$Q,MATCH($A25,Proyectos!$C:$C,0))&amp;"","")</f>
        <v/>
      </c>
      <c r="L25" s="21" t="str">
        <f>IFERROR(INDEX(Proyectos!$V:$V,MATCH($A25,Proyectos!$C:$C,0))&amp;"","")</f>
        <v/>
      </c>
      <c r="M25" s="22" t="str">
        <f>IFERROR(IF(INDEX(Proyectos!$W:$W,MATCH($A25,Proyectos!$C:$C,0))="","",INDEX(Proyectos!$W:$W,MATCH($A25,Proyectos!$C:$C,0))),"")</f>
        <v/>
      </c>
      <c r="N25" s="19" t="str">
        <f ca="1">IFERROR(INDEX(Proyectos!$X:$X,MATCH($A25,Proyectos!$C:$C,0)),"")</f>
        <v/>
      </c>
      <c r="O25" s="21" t="str">
        <f>IFERROR(INDEX(Proyectos!$Y:$Y,MATCH($A25,Proyectos!$C:$C,0))&amp;"","")</f>
        <v/>
      </c>
      <c r="P25" s="23"/>
      <c r="Q25" s="23"/>
      <c r="R25" s="24"/>
    </row>
  </sheetData>
  <mergeCells count="3">
    <mergeCell ref="A1:R1"/>
    <mergeCell ref="A2:R2"/>
    <mergeCell ref="A3:R3"/>
  </mergeCells>
  <conditionalFormatting sqref="D6:D25">
    <cfRule type="expression" dxfId="0" priority="16">
      <formula>AND($A6&lt;&gt;"",$D6="")</formula>
    </cfRule>
  </conditionalFormatting>
  <conditionalFormatting sqref="H6:H25">
    <cfRule type="expression" dxfId="6" priority="8">
      <formula>$H6="A"</formula>
    </cfRule>
    <cfRule type="expression" dxfId="0" priority="9">
      <formula>$H6="B"</formula>
    </cfRule>
    <cfRule type="expression" dxfId="1" priority="10">
      <formula>$H6="C"</formula>
    </cfRule>
  </conditionalFormatting>
  <conditionalFormatting sqref="I6:I25">
    <cfRule type="expression" dxfId="1" priority="11">
      <formula>ISNUMBER(SEARCH("CONGELAR",$I6))</formula>
    </cfRule>
    <cfRule type="expression" dxfId="0" priority="12">
      <formula>ISNUMBER(SEARCH("COBRAR",$I6))</formula>
    </cfRule>
    <cfRule type="expression" dxfId="0" priority="13">
      <formula>ISNUMBER(SEARCH("PERSEGUIR",$I6))</formula>
    </cfRule>
    <cfRule type="expression" dxfId="6" priority="14">
      <formula>OR($I6="Al día",$I6="Listo para asignar")</formula>
    </cfRule>
  </conditionalFormatting>
  <conditionalFormatting sqref="N6:N25">
    <cfRule type="cellIs" dxfId="7" priority="15" operator="greaterThan">
      <formula>15</formula>
    </cfRule>
  </conditionalFormatting>
  <conditionalFormatting sqref="P6:P25">
    <cfRule type="expression" dxfId="2" priority="2">
      <formula>$P6="Falta material"</formula>
    </cfRule>
    <cfRule type="expression" dxfId="3" priority="3">
      <formula>$P6="Material completo — iniciar diseño"</formula>
    </cfRule>
    <cfRule type="expression" dxfId="4" priority="4">
      <formula>$P6="Diseño en curso"</formula>
    </cfRule>
    <cfRule type="expression" dxfId="5" priority="5">
      <formula>$P6="Avance listo para presentar"</formula>
    </cfRule>
    <cfRule type="expression" dxfId="3" priority="6">
      <formula>$P6="En revisión del cliente"</formula>
    </cfRule>
    <cfRule type="expression" dxfId="5" priority="7">
      <formula>$P6="Diseño finalizado"</formula>
    </cfRule>
  </conditionalFormatting>
  <dataValidations count="1">
    <dataValidation type="list" allowBlank="1" sqref="P6:P25">
      <formula1>"Falta material,Material completo — iniciar diseño,Diseño en curso,Avance listo para presentar,En revisión del cliente,Diseño finalizado"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L12" sqref="L12:L13"/>
    </sheetView>
  </sheetViews>
  <sheetFormatPr defaultColWidth="8.67619047619048" defaultRowHeight="15"/>
  <cols>
    <col min="1" max="1" width="24" customWidth="1"/>
    <col min="2" max="3" width="9" customWidth="1"/>
    <col min="4" max="4" width="28" customWidth="1"/>
    <col min="5" max="5" width="12" customWidth="1"/>
    <col min="6" max="6" width="14" customWidth="1"/>
    <col min="7" max="7" width="18" customWidth="1"/>
    <col min="8" max="8" width="7" customWidth="1"/>
    <col min="9" max="9" width="30" customWidth="1"/>
    <col min="10" max="10" width="15" customWidth="1"/>
    <col min="11" max="11" width="18" customWidth="1"/>
    <col min="12" max="12" width="28" customWidth="1"/>
    <col min="13" max="13" width="15" customWidth="1"/>
    <col min="14" max="14" width="11" customWidth="1"/>
    <col min="15" max="15" width="34" customWidth="1"/>
    <col min="16" max="16" width="26" customWidth="1"/>
    <col min="17" max="17" width="34" customWidth="1"/>
    <col min="18" max="18" width="12" customWidth="1"/>
  </cols>
  <sheetData>
    <row r="1" ht="27.75" customHeight="1" spans="1:18">
      <c r="A1" s="12" t="s">
        <v>287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A2" s="13" t="s">
        <v>288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30" customHeight="1" spans="1:18">
      <c r="A3" s="14" t="s">
        <v>289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7.5" customHeight="1"/>
    <row r="5" ht="31.5" customHeight="1" spans="1:18">
      <c r="A5" s="15" t="s">
        <v>32</v>
      </c>
      <c r="B5" s="15" t="s">
        <v>280</v>
      </c>
      <c r="C5" s="15" t="s">
        <v>31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40</v>
      </c>
      <c r="I5" s="15" t="s">
        <v>41</v>
      </c>
      <c r="J5" s="15" t="s">
        <v>45</v>
      </c>
      <c r="K5" s="15" t="s">
        <v>46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290</v>
      </c>
      <c r="Q5" s="15" t="s">
        <v>291</v>
      </c>
      <c r="R5" s="15" t="s">
        <v>283</v>
      </c>
    </row>
    <row r="6" ht="30" customHeight="1" spans="1:18">
      <c r="A6" s="16" t="s">
        <v>85</v>
      </c>
      <c r="B6" s="17" t="str">
        <f>IFERROR(IF(INDEX(Proyectos!$A:$A,MATCH($A6,Proyectos!$C:$C,0))="","",INDEX(Proyectos!$A:$A,MATCH($A6,Proyectos!$C:$C,0))),"")</f>
        <v/>
      </c>
      <c r="C6" s="18" t="str">
        <f>IFERROR(INDEX(Proyectos!$B:$B,MATCH($A6,Proyectos!$C:$C,0))&amp;"","")</f>
        <v>026</v>
      </c>
      <c r="D6" s="19" t="str">
        <f>IFERROR(INDEX(Proyectos!$D:$D,MATCH($A6,Proyectos!$C:$C,0))&amp;"","")</f>
        <v/>
      </c>
      <c r="E6" s="19" t="str">
        <f>IFERROR(INDEX(Proyectos!$E:$E,MATCH($A6,Proyectos!$C:$C,0))&amp;"","")</f>
        <v>E-commerce</v>
      </c>
      <c r="F6" s="19" t="str">
        <f>IFERROR(INDEX(Proyectos!$F:$F,MATCH($A6,Proyectos!$C:$C,0))&amp;"","")</f>
        <v>Por definir</v>
      </c>
      <c r="G6" s="19" t="str">
        <f>IFERROR(INDEX(Proyectos!$G:$G,MATCH($A6,Proyectos!$C:$C,0))&amp;"","")</f>
        <v>Esperando material</v>
      </c>
      <c r="H6" s="20" t="str">
        <f>IFERROR(INDEX(Proyectos!$K:$K,MATCH($A6,Proyectos!$C:$C,0))&amp;"","")</f>
        <v>B</v>
      </c>
      <c r="I6" s="21" t="str">
        <f ca="1">IFERROR(INDEX(Proyectos!$L:$L,MATCH($A6,Proyectos!$C:$C,0))&amp;"","")</f>
        <v>PERSEGUIR MATERIAL</v>
      </c>
      <c r="J6" s="19" t="str">
        <f>IFERROR(INDEX(Proyectos!$P:$P,MATCH($A6,Proyectos!$C:$C,0))&amp;"","")</f>
        <v>Nada</v>
      </c>
      <c r="K6" s="19" t="str">
        <f>IFERROR(INDEX(Proyectos!$Q:$Q,MATCH($A6,Proyectos!$C:$C,0))&amp;"","")</f>
        <v>No enviada</v>
      </c>
      <c r="L6" s="21" t="str">
        <f>IFERROR(INDEX(Proyectos!$V:$V,MATCH($A6,Proyectos!$C:$C,0))&amp;"","")</f>
        <v>Todo — BLOQUEADO: no hay acceso al grupo del cliente</v>
      </c>
      <c r="M6" s="22" t="str">
        <f>IFERROR(IF(INDEX(Proyectos!$W:$W,MATCH($A6,Proyectos!$C:$C,0))="","",INDEX(Proyectos!$W:$W,MATCH($A6,Proyectos!$C:$C,0))),"")</f>
        <v/>
      </c>
      <c r="N6" s="19" t="str">
        <f ca="1">IFERROR(INDEX(Proyectos!$X:$X,MATCH($A6,Proyectos!$C:$C,0)),"")</f>
        <v/>
      </c>
      <c r="O6" s="21" t="str">
        <f>IFERROR(INDEX(Proyectos!$Y:$Y,MATCH($A6,Proyectos!$C:$C,0))&amp;"","")</f>
        <v>Cliente: Kevin. Dev histórico: Aarón. Requiere desbloquear canal de comunicación antes de nada. 30</v>
      </c>
      <c r="P6" s="23"/>
      <c r="Q6" s="23"/>
      <c r="R6" s="24"/>
    </row>
    <row r="7" ht="30" customHeight="1" spans="1:18">
      <c r="A7" s="16" t="s">
        <v>91</v>
      </c>
      <c r="B7" s="17" t="str">
        <f>IFERROR(IF(INDEX(Proyectos!$A:$A,MATCH($A7,Proyectos!$C:$C,0))="","",INDEX(Proyectos!$A:$A,MATCH($A7,Proyectos!$C:$C,0))),"")</f>
        <v/>
      </c>
      <c r="C7" s="18" t="str">
        <f>IFERROR(INDEX(Proyectos!$B:$B,MATCH($A7,Proyectos!$C:$C,0))&amp;"","")</f>
        <v>035</v>
      </c>
      <c r="D7" s="19" t="str">
        <f>IFERROR(INDEX(Proyectos!$D:$D,MATCH($A7,Proyectos!$C:$C,0))&amp;"","")</f>
        <v/>
      </c>
      <c r="E7" s="19" t="str">
        <f>IFERROR(INDEX(Proyectos!$E:$E,MATCH($A7,Proyectos!$C:$C,0))&amp;"","")</f>
        <v>E-commerce</v>
      </c>
      <c r="F7" s="19" t="str">
        <f>IFERROR(INDEX(Proyectos!$F:$F,MATCH($A7,Proyectos!$C:$C,0))&amp;"","")</f>
        <v>Por definir</v>
      </c>
      <c r="G7" s="19" t="str">
        <f>IFERROR(INDEX(Proyectos!$G:$G,MATCH($A7,Proyectos!$C:$C,0))&amp;"","")</f>
        <v>Congelado</v>
      </c>
      <c r="H7" s="20" t="str">
        <f>IFERROR(INDEX(Proyectos!$K:$K,MATCH($A7,Proyectos!$C:$C,0))&amp;"","")</f>
        <v>A</v>
      </c>
      <c r="I7" s="21" t="str">
        <f ca="1">IFERROR(INDEX(Proyectos!$L:$L,MATCH($A7,Proyectos!$C:$C,0))&amp;"","")</f>
        <v>Congelado — mensaje cada 15 días</v>
      </c>
      <c r="J7" s="19" t="str">
        <f>IFERROR(INDEX(Proyectos!$P:$P,MATCH($A7,Proyectos!$C:$C,0))&amp;"","")</f>
        <v>Completo</v>
      </c>
      <c r="K7" s="19" t="str">
        <f>IFERROR(INDEX(Proyectos!$Q:$Q,MATCH($A7,Proyectos!$C:$C,0))&amp;"","")</f>
        <v>Recibida y validada</v>
      </c>
      <c r="L7" s="21" t="str">
        <f>IFERROR(INDEX(Proyectos!$V:$V,MATCH($A7,Proyectos!$C:$C,0))&amp;"","")</f>
        <v>Validación/aprobación del cliente</v>
      </c>
      <c r="M7" s="22" t="str">
        <f>IFERROR(IF(INDEX(Proyectos!$W:$W,MATCH($A7,Proyectos!$C:$C,0))="","",INDEX(Proyectos!$W:$W,MATCH($A7,Proyectos!$C:$C,0))),"")</f>
        <v/>
      </c>
      <c r="N7" s="19" t="str">
        <f ca="1">IFERROR(INDEX(Proyectos!$X:$X,MATCH($A7,Proyectos!$C:$C,0)),"")</f>
        <v/>
      </c>
      <c r="O7" s="21" t="str">
        <f>IFERROR(INDEX(Proyectos!$Y:$Y,MATCH($A7,Proyectos!$C:$C,0))&amp;"","")</f>
        <v>Cliente: Julio Ponce. Sin fecha de última respuesta registrada — confirmar.</v>
      </c>
      <c r="P7" s="23"/>
      <c r="Q7" s="23"/>
      <c r="R7" s="24"/>
    </row>
    <row r="8" ht="30" customHeight="1" spans="1:18">
      <c r="A8" s="16" t="s">
        <v>96</v>
      </c>
      <c r="B8" s="17" t="str">
        <f>IFERROR(IF(INDEX(Proyectos!$A:$A,MATCH($A8,Proyectos!$C:$C,0))="","",INDEX(Proyectos!$A:$A,MATCH($A8,Proyectos!$C:$C,0))),"")</f>
        <v/>
      </c>
      <c r="C8" s="18" t="str">
        <f>IFERROR(INDEX(Proyectos!$B:$B,MATCH($A8,Proyectos!$C:$C,0))&amp;"","")</f>
        <v>036</v>
      </c>
      <c r="D8" s="19" t="str">
        <f>IFERROR(INDEX(Proyectos!$D:$D,MATCH($A8,Proyectos!$C:$C,0))&amp;"","")</f>
        <v/>
      </c>
      <c r="E8" s="19" t="str">
        <f>IFERROR(INDEX(Proyectos!$E:$E,MATCH($A8,Proyectos!$C:$C,0))&amp;"","")</f>
        <v>E-commerce</v>
      </c>
      <c r="F8" s="19" t="str">
        <f>IFERROR(INDEX(Proyectos!$F:$F,MATCH($A8,Proyectos!$C:$C,0))&amp;"","")</f>
        <v>Por definir</v>
      </c>
      <c r="G8" s="19" t="str">
        <f>IFERROR(INDEX(Proyectos!$G:$G,MATCH($A8,Proyectos!$C:$C,0))&amp;"","")</f>
        <v>Desarrollo</v>
      </c>
      <c r="H8" s="20" t="str">
        <f>IFERROR(INDEX(Proyectos!$K:$K,MATCH($A8,Proyectos!$C:$C,0))&amp;"","")</f>
        <v>A</v>
      </c>
      <c r="I8" s="21" t="str">
        <f ca="1">IFERROR(INDEX(Proyectos!$L:$L,MATCH($A8,Proyectos!$C:$C,0))&amp;"","")</f>
        <v>CONGELAR HOY</v>
      </c>
      <c r="J8" s="19" t="str">
        <f>IFERROR(INDEX(Proyectos!$P:$P,MATCH($A8,Proyectos!$C:$C,0))&amp;"","")</f>
        <v>Completo</v>
      </c>
      <c r="K8" s="19" t="str">
        <f>IFERROR(INDEX(Proyectos!$Q:$Q,MATCH($A8,Proyectos!$C:$C,0))&amp;"","")</f>
        <v>No enviada</v>
      </c>
      <c r="L8" s="21" t="str">
        <f>IFERROR(INDEX(Proyectos!$V:$V,MATCH($A8,Proyectos!$C:$C,0))&amp;"","")</f>
        <v>Reunión reprogramada + validación del cliente sobre carga de productos</v>
      </c>
      <c r="M8" s="22">
        <f>IFERROR(IF(INDEX(Proyectos!$W:$W,MATCH($A8,Proyectos!$C:$C,0))="","",INDEX(Proyectos!$W:$W,MATCH($A8,Proyectos!$C:$C,0))),"")</f>
        <v>46213</v>
      </c>
      <c r="N8" s="19">
        <f ca="1">IFERROR(INDEX(Proyectos!$X:$X,MATCH($A8,Proyectos!$C:$C,0)),"")</f>
        <v>24</v>
      </c>
      <c r="O8" s="21" t="str">
        <f>IFERROR(INDEX(Proyectos!$Y:$Y,MATCH($A8,Proyectos!$C:$C,0))&amp;"","")</f>
        <v>Cliente: Giancarlo Rosario. En transición de Aarón a Luis (aún no formalizada).</v>
      </c>
      <c r="P8" s="23"/>
      <c r="Q8" s="23"/>
      <c r="R8" s="24"/>
    </row>
    <row r="9" ht="30" customHeight="1" spans="1:18">
      <c r="A9" s="16" t="s">
        <v>105</v>
      </c>
      <c r="B9" s="17" t="str">
        <f>IFERROR(IF(INDEX(Proyectos!$A:$A,MATCH($A9,Proyectos!$C:$C,0))="","",INDEX(Proyectos!$A:$A,MATCH($A9,Proyectos!$C:$C,0))),"")</f>
        <v/>
      </c>
      <c r="C9" s="18" t="str">
        <f>IFERROR(INDEX(Proyectos!$B:$B,MATCH($A9,Proyectos!$C:$C,0))&amp;"","")</f>
        <v>040</v>
      </c>
      <c r="D9" s="19" t="str">
        <f>IFERROR(INDEX(Proyectos!$D:$D,MATCH($A9,Proyectos!$C:$C,0))&amp;"","")</f>
        <v/>
      </c>
      <c r="E9" s="19" t="str">
        <f>IFERROR(INDEX(Proyectos!$E:$E,MATCH($A9,Proyectos!$C:$C,0))&amp;"","")</f>
        <v>E-commerce</v>
      </c>
      <c r="F9" s="19" t="str">
        <f>IFERROR(INDEX(Proyectos!$F:$F,MATCH($A9,Proyectos!$C:$C,0))&amp;"","")</f>
        <v>Por definir</v>
      </c>
      <c r="G9" s="19" t="str">
        <f>IFERROR(INDEX(Proyectos!$G:$G,MATCH($A9,Proyectos!$C:$C,0))&amp;"","")</f>
        <v>Cerrado</v>
      </c>
      <c r="H9" s="20" t="str">
        <f>IFERROR(INDEX(Proyectos!$K:$K,MATCH($A9,Proyectos!$C:$C,0))&amp;"","")</f>
        <v>A</v>
      </c>
      <c r="I9" s="21" t="str">
        <f ca="1">IFERROR(INDEX(Proyectos!$L:$L,MATCH($A9,Proyectos!$C:$C,0))&amp;"","")</f>
        <v>CONGELAR HOY</v>
      </c>
      <c r="J9" s="19" t="str">
        <f>IFERROR(INDEX(Proyectos!$P:$P,MATCH($A9,Proyectos!$C:$C,0))&amp;"","")</f>
        <v>Completo</v>
      </c>
      <c r="K9" s="19" t="str">
        <f>IFERROR(INDEX(Proyectos!$Q:$Q,MATCH($A9,Proyectos!$C:$C,0))&amp;"","")</f>
        <v>Recibida con errores</v>
      </c>
      <c r="L9" s="21" t="str">
        <f>IFERROR(INDEX(Proyectos!$V:$V,MATCH($A9,Proyectos!$C:$C,0))&amp;"","")</f>
        <v>Nada — diseño aprobado</v>
      </c>
      <c r="M9" s="22">
        <f>IFERROR(IF(INDEX(Proyectos!$W:$W,MATCH($A9,Proyectos!$C:$C,0))="","",INDEX(Proyectos!$W:$W,MATCH($A9,Proyectos!$C:$C,0))),"")</f>
        <v>46200</v>
      </c>
      <c r="N9" s="19">
        <f ca="1">IFERROR(INDEX(Proyectos!$X:$X,MATCH($A9,Proyectos!$C:$C,0)),"")</f>
        <v>37</v>
      </c>
      <c r="O9" s="21" t="str">
        <f>IFERROR(INDEX(Proyectos!$Y:$Y,MATCH($A9,Proyectos!$C:$C,0))&amp;"","")</f>
        <v>Cliente: Liliana y Javier.</v>
      </c>
      <c r="P9" s="23"/>
      <c r="Q9" s="23"/>
      <c r="R9" s="24"/>
    </row>
    <row r="10" ht="30" customHeight="1" spans="1:18">
      <c r="A10" s="16" t="s">
        <v>119</v>
      </c>
      <c r="B10" s="17" t="str">
        <f>IFERROR(IF(INDEX(Proyectos!$A:$A,MATCH($A10,Proyectos!$C:$C,0))="","",INDEX(Proyectos!$A:$A,MATCH($A10,Proyectos!$C:$C,0))),"")</f>
        <v/>
      </c>
      <c r="C10" s="18" t="str">
        <f>IFERROR(INDEX(Proyectos!$B:$B,MATCH($A10,Proyectos!$C:$C,0))&amp;"","")</f>
        <v>053</v>
      </c>
      <c r="D10" s="19" t="str">
        <f>IFERROR(INDEX(Proyectos!$D:$D,MATCH($A10,Proyectos!$C:$C,0))&amp;"","")</f>
        <v/>
      </c>
      <c r="E10" s="19" t="str">
        <f>IFERROR(INDEX(Proyectos!$E:$E,MATCH($A10,Proyectos!$C:$C,0))&amp;"","")</f>
        <v>Informativa</v>
      </c>
      <c r="F10" s="19" t="str">
        <f>IFERROR(INDEX(Proyectos!$F:$F,MATCH($A10,Proyectos!$C:$C,0))&amp;"","")</f>
        <v>Por definir</v>
      </c>
      <c r="G10" s="19" t="str">
        <f>IFERROR(INDEX(Proyectos!$G:$G,MATCH($A10,Proyectos!$C:$C,0))&amp;"","")</f>
        <v>Desarrollo</v>
      </c>
      <c r="H10" s="20" t="str">
        <f>IFERROR(INDEX(Proyectos!$K:$K,MATCH($A10,Proyectos!$C:$C,0))&amp;"","")</f>
        <v>A</v>
      </c>
      <c r="I10" s="21" t="str">
        <f ca="1">IFERROR(INDEX(Proyectos!$L:$L,MATCH($A10,Proyectos!$C:$C,0))&amp;"","")</f>
        <v>CONGELAR HOY</v>
      </c>
      <c r="J10" s="19" t="str">
        <f>IFERROR(INDEX(Proyectos!$P:$P,MATCH($A10,Proyectos!$C:$C,0))&amp;"","")</f>
        <v>Completo</v>
      </c>
      <c r="K10" s="19" t="str">
        <f>IFERROR(INDEX(Proyectos!$Q:$Q,MATCH($A10,Proyectos!$C:$C,0))&amp;"","")</f>
        <v>No aplica</v>
      </c>
      <c r="L10" s="21" t="str">
        <f>IFERROR(INDEX(Proyectos!$V:$V,MATCH($A10,Proyectos!$C:$C,0))&amp;"","")</f>
        <v>Validación de diseño en paralelo al desarrollo</v>
      </c>
      <c r="M10" s="22">
        <f>IFERROR(IF(INDEX(Proyectos!$W:$W,MATCH($A10,Proyectos!$C:$C,0))="","",INDEX(Proyectos!$W:$W,MATCH($A10,Proyectos!$C:$C,0))),"")</f>
        <v>46212</v>
      </c>
      <c r="N10" s="19">
        <f ca="1">IFERROR(INDEX(Proyectos!$X:$X,MATCH($A10,Proyectos!$C:$C,0)),"")</f>
        <v>25</v>
      </c>
      <c r="O10" s="21" t="str">
        <f>IFERROR(INDEX(Proyectos!$Y:$Y,MATCH($A10,Proyectos!$C:$C,0))&amp;"","")</f>
        <v>Cliente: Jenifer y Jorge. 30% pagado.</v>
      </c>
      <c r="P10" s="23"/>
      <c r="Q10" s="23"/>
      <c r="R10" s="24"/>
    </row>
    <row r="11" ht="30" customHeight="1" spans="1:18">
      <c r="A11" s="16" t="s">
        <v>141</v>
      </c>
      <c r="B11" s="17" t="str">
        <f>IFERROR(IF(INDEX(Proyectos!$A:$A,MATCH($A11,Proyectos!$C:$C,0))="","",INDEX(Proyectos!$A:$A,MATCH($A11,Proyectos!$C:$C,0))),"")</f>
        <v/>
      </c>
      <c r="C11" s="18" t="str">
        <f>IFERROR(INDEX(Proyectos!$B:$B,MATCH($A11,Proyectos!$C:$C,0))&amp;"","")</f>
        <v>059</v>
      </c>
      <c r="D11" s="19" t="str">
        <f>IFERROR(INDEX(Proyectos!$D:$D,MATCH($A11,Proyectos!$C:$C,0))&amp;"","")</f>
        <v/>
      </c>
      <c r="E11" s="19" t="str">
        <f>IFERROR(INDEX(Proyectos!$E:$E,MATCH($A11,Proyectos!$C:$C,0))&amp;"","")</f>
        <v>E-commerce</v>
      </c>
      <c r="F11" s="19" t="str">
        <f>IFERROR(INDEX(Proyectos!$F:$F,MATCH($A11,Proyectos!$C:$C,0))&amp;"","")</f>
        <v>Por definir</v>
      </c>
      <c r="G11" s="19" t="str">
        <f>IFERROR(INDEX(Proyectos!$G:$G,MATCH($A11,Proyectos!$C:$C,0))&amp;"","")</f>
        <v>Desarrollo</v>
      </c>
      <c r="H11" s="20" t="str">
        <f>IFERROR(INDEX(Proyectos!$K:$K,MATCH($A11,Proyectos!$C:$C,0))&amp;"","")</f>
        <v>A</v>
      </c>
      <c r="I11" s="21" t="str">
        <f ca="1">IFERROR(INDEX(Proyectos!$L:$L,MATCH($A11,Proyectos!$C:$C,0))&amp;"","")</f>
        <v>CONGELAR HOY</v>
      </c>
      <c r="J11" s="19" t="str">
        <f>IFERROR(INDEX(Proyectos!$P:$P,MATCH($A11,Proyectos!$C:$C,0))&amp;"","")</f>
        <v>Completo</v>
      </c>
      <c r="K11" s="19" t="str">
        <f>IFERROR(INDEX(Proyectos!$Q:$Q,MATCH($A11,Proyectos!$C:$C,0))&amp;"","")</f>
        <v>No aplica</v>
      </c>
      <c r="L11" s="21" t="str">
        <f>IFERROR(INDEX(Proyectos!$V:$V,MATCH($A11,Proyectos!$C:$C,0))&amp;"","")</f>
        <v>Nada — en implementación, cliente informado y disponible</v>
      </c>
      <c r="M11" s="22">
        <f>IFERROR(IF(INDEX(Proyectos!$W:$W,MATCH($A11,Proyectos!$C:$C,0))="","",INDEX(Proyectos!$W:$W,MATCH($A11,Proyectos!$C:$C,0))),"")</f>
        <v>46218</v>
      </c>
      <c r="N11" s="19">
        <f ca="1">IFERROR(INDEX(Proyectos!$X:$X,MATCH($A11,Proyectos!$C:$C,0)),"")</f>
        <v>19</v>
      </c>
      <c r="O11" s="21" t="str">
        <f>IFERROR(INDEX(Proyectos!$Y:$Y,MATCH($A11,Proyectos!$C:$C,0))&amp;"","")</f>
        <v>Cliente: Juan. - Cita viernes 24-07</v>
      </c>
      <c r="P11" s="23"/>
      <c r="Q11" s="23"/>
      <c r="R11" s="24"/>
    </row>
    <row r="12" ht="30" customHeight="1" spans="1:18">
      <c r="A12" s="16" t="s">
        <v>167</v>
      </c>
      <c r="B12" s="17">
        <f>IFERROR(IF(INDEX(Proyectos!$A:$A,MATCH($A12,Proyectos!$C:$C,0))="","",INDEX(Proyectos!$A:$A,MATCH($A12,Proyectos!$C:$C,0))),"")</f>
        <v>2</v>
      </c>
      <c r="C12" s="18" t="str">
        <f>IFERROR(INDEX(Proyectos!$B:$B,MATCH($A12,Proyectos!$C:$C,0))&amp;"","")</f>
        <v>066</v>
      </c>
      <c r="D12" s="19" t="str">
        <f>IFERROR(INDEX(Proyectos!$D:$D,MATCH($A12,Proyectos!$C:$C,0))&amp;"","")</f>
        <v/>
      </c>
      <c r="E12" s="19" t="str">
        <f>IFERROR(INDEX(Proyectos!$E:$E,MATCH($A12,Proyectos!$C:$C,0))&amp;"","")</f>
        <v>E-commerce</v>
      </c>
      <c r="F12" s="19" t="str">
        <f>IFERROR(INDEX(Proyectos!$F:$F,MATCH($A12,Proyectos!$C:$C,0))&amp;"","")</f>
        <v>Por definir</v>
      </c>
      <c r="G12" s="19" t="str">
        <f>IFERROR(INDEX(Proyectos!$G:$G,MATCH($A12,Proyectos!$C:$C,0))&amp;"","")</f>
        <v>Diseño</v>
      </c>
      <c r="H12" s="20" t="str">
        <f>IFERROR(INDEX(Proyectos!$K:$K,MATCH($A12,Proyectos!$C:$C,0))&amp;"","")</f>
        <v>A</v>
      </c>
      <c r="I12" s="21" t="str">
        <f ca="1">IFERROR(INDEX(Proyectos!$L:$L,MATCH($A12,Proyectos!$C:$C,0))&amp;"","")</f>
        <v>CONGELAR HOY</v>
      </c>
      <c r="J12" s="19" t="str">
        <f>IFERROR(INDEX(Proyectos!$P:$P,MATCH($A12,Proyectos!$C:$C,0))&amp;"","")</f>
        <v>Completo</v>
      </c>
      <c r="K12" s="19" t="str">
        <f>IFERROR(INDEX(Proyectos!$Q:$Q,MATCH($A12,Proyectos!$C:$C,0))&amp;"","")</f>
        <v>No enviada</v>
      </c>
      <c r="L12" s="21" t="str">
        <f>IFERROR(INDEX(Proyectos!$V:$V,MATCH($A12,Proyectos!$C:$C,0))&amp;"","")</f>
        <v>Material de diseño en general</v>
      </c>
      <c r="M12" s="22">
        <f>IFERROR(IF(INDEX(Proyectos!$W:$W,MATCH($A12,Proyectos!$C:$C,0))="","",INDEX(Proyectos!$W:$W,MATCH($A12,Proyectos!$C:$C,0))),"")</f>
        <v>46218</v>
      </c>
      <c r="N12" s="19">
        <f ca="1">IFERROR(INDEX(Proyectos!$X:$X,MATCH($A12,Proyectos!$C:$C,0)),"")</f>
        <v>19</v>
      </c>
      <c r="O12" s="21" t="str">
        <f>IFERROR(INDEX(Proyectos!$Y:$Y,MATCH($A12,Proyectos!$C:$C,0))&amp;"","")</f>
        <v>Cliente: Erika Garay. Dev histórico: Aarón.</v>
      </c>
      <c r="P12" s="23"/>
      <c r="Q12" s="23"/>
      <c r="R12" s="24"/>
    </row>
    <row r="13" ht="30" customHeight="1" spans="1:18">
      <c r="A13" s="16" t="s">
        <v>174</v>
      </c>
      <c r="B13" s="17">
        <f>IFERROR(IF(INDEX(Proyectos!$A:$A,MATCH($A13,Proyectos!$C:$C,0))="","",INDEX(Proyectos!$A:$A,MATCH($A13,Proyectos!$C:$C,0))),"")</f>
        <v>11</v>
      </c>
      <c r="C13" s="18" t="str">
        <f>IFERROR(INDEX(Proyectos!$B:$B,MATCH($A13,Proyectos!$C:$C,0))&amp;"","")</f>
        <v>068</v>
      </c>
      <c r="D13" s="19" t="str">
        <f>IFERROR(INDEX(Proyectos!$D:$D,MATCH($A13,Proyectos!$C:$C,0))&amp;"","")</f>
        <v/>
      </c>
      <c r="E13" s="19" t="str">
        <f>IFERROR(INDEX(Proyectos!$E:$E,MATCH($A13,Proyectos!$C:$C,0))&amp;"","")</f>
        <v>E-commerce</v>
      </c>
      <c r="F13" s="19" t="str">
        <f>IFERROR(INDEX(Proyectos!$F:$F,MATCH($A13,Proyectos!$C:$C,0))&amp;"","")</f>
        <v>Por definir</v>
      </c>
      <c r="G13" s="19" t="str">
        <f>IFERROR(INDEX(Proyectos!$G:$G,MATCH($A13,Proyectos!$C:$C,0))&amp;"","")</f>
        <v>Esperando material</v>
      </c>
      <c r="H13" s="20" t="str">
        <f>IFERROR(INDEX(Proyectos!$K:$K,MATCH($A13,Proyectos!$C:$C,0))&amp;"","")</f>
        <v>B</v>
      </c>
      <c r="I13" s="21" t="str">
        <f ca="1">IFERROR(INDEX(Proyectos!$L:$L,MATCH($A13,Proyectos!$C:$C,0))&amp;"","")</f>
        <v>CONGELAR HOY</v>
      </c>
      <c r="J13" s="19" t="str">
        <f>IFERROR(INDEX(Proyectos!$P:$P,MATCH($A13,Proyectos!$C:$C,0))&amp;"","")</f>
        <v>Nada</v>
      </c>
      <c r="K13" s="19" t="str">
        <f>IFERROR(INDEX(Proyectos!$Q:$Q,MATCH($A13,Proyectos!$C:$C,0))&amp;"","")</f>
        <v>No enviada</v>
      </c>
      <c r="L13" s="21" t="str">
        <f>IFERROR(INDEX(Proyectos!$V:$V,MATCH($A13,Proyectos!$C:$C,0))&amp;"","")</f>
        <v>Todo — recién se llenó el brief</v>
      </c>
      <c r="M13" s="22">
        <f>IFERROR(IF(INDEX(Proyectos!$W:$W,MATCH($A13,Proyectos!$C:$C,0))="","",INDEX(Proyectos!$W:$W,MATCH($A13,Proyectos!$C:$C,0))),"")</f>
        <v>46219</v>
      </c>
      <c r="N13" s="19">
        <f ca="1">IFERROR(INDEX(Proyectos!$X:$X,MATCH($A13,Proyectos!$C:$C,0)),"")</f>
        <v>18</v>
      </c>
      <c r="O13" s="21" t="str">
        <f>IFERROR(INDEX(Proyectos!$Y:$Y,MATCH($A13,Proyectos!$C:$C,0))&amp;"","")</f>
        <v>Cliente: Lady Quispe. Dev histórico: Aarón. Marca previa de Juan Carlos (el proyecto salió de su hoja por no estar en grupo A): «PERSEGUIR».</v>
      </c>
      <c r="P13" s="23"/>
      <c r="Q13" s="23"/>
      <c r="R13" s="24"/>
    </row>
    <row r="14" ht="30" customHeight="1" spans="1:18">
      <c r="A14" s="16" t="s">
        <v>182</v>
      </c>
      <c r="B14" s="17">
        <f>IFERROR(IF(INDEX(Proyectos!$A:$A,MATCH($A14,Proyectos!$C:$C,0))="","",INDEX(Proyectos!$A:$A,MATCH($A14,Proyectos!$C:$C,0))),"")</f>
        <v>7</v>
      </c>
      <c r="C14" s="18" t="str">
        <f>IFERROR(INDEX(Proyectos!$B:$B,MATCH($A14,Proyectos!$C:$C,0))&amp;"","")</f>
        <v>070</v>
      </c>
      <c r="D14" s="19" t="str">
        <f>IFERROR(INDEX(Proyectos!$D:$D,MATCH($A14,Proyectos!$C:$C,0))&amp;"","")</f>
        <v/>
      </c>
      <c r="E14" s="19" t="str">
        <f>IFERROR(INDEX(Proyectos!$E:$E,MATCH($A14,Proyectos!$C:$C,0))&amp;"","")</f>
        <v>E-commerce</v>
      </c>
      <c r="F14" s="19" t="str">
        <f>IFERROR(INDEX(Proyectos!$F:$F,MATCH($A14,Proyectos!$C:$C,0))&amp;"","")</f>
        <v>Por definir</v>
      </c>
      <c r="G14" s="19" t="str">
        <f>IFERROR(INDEX(Proyectos!$G:$G,MATCH($A14,Proyectos!$C:$C,0))&amp;"","")</f>
        <v>Diseño</v>
      </c>
      <c r="H14" s="20" t="str">
        <f>IFERROR(INDEX(Proyectos!$K:$K,MATCH($A14,Proyectos!$C:$C,0))&amp;"","")</f>
        <v>A</v>
      </c>
      <c r="I14" s="21" t="str">
        <f ca="1">IFERROR(INDEX(Proyectos!$L:$L,MATCH($A14,Proyectos!$C:$C,0))&amp;"","")</f>
        <v>CONGELAR HOY</v>
      </c>
      <c r="J14" s="19" t="str">
        <f>IFERROR(INDEX(Proyectos!$P:$P,MATCH($A14,Proyectos!$C:$C,0))&amp;"","")</f>
        <v>Completo</v>
      </c>
      <c r="K14" s="19" t="str">
        <f>IFERROR(INDEX(Proyectos!$Q:$Q,MATCH($A14,Proyectos!$C:$C,0))&amp;"","")</f>
        <v>No enviada</v>
      </c>
      <c r="L14" s="21" t="str">
        <f>IFERROR(INDEX(Proyectos!$V:$V,MATCH($A14,Proyectos!$C:$C,0))&amp;"","")</f>
        <v>Material de diseño (brief y drive ya completados administrativamente)</v>
      </c>
      <c r="M14" s="22">
        <f>IFERROR(IF(INDEX(Proyectos!$W:$W,MATCH($A14,Proyectos!$C:$C,0))="","",INDEX(Proyectos!$W:$W,MATCH($A14,Proyectos!$C:$C,0))),"")</f>
        <v>46218</v>
      </c>
      <c r="N14" s="19">
        <f ca="1">IFERROR(INDEX(Proyectos!$X:$X,MATCH($A14,Proyectos!$C:$C,0)),"")</f>
        <v>19</v>
      </c>
      <c r="O14" s="21" t="str">
        <f>IFERROR(INDEX(Proyectos!$Y:$Y,MATCH($A14,Proyectos!$C:$C,0))&amp;"","")</f>
        <v>Cliente: Elvis Stefano. Dev histórico: Aarón.</v>
      </c>
      <c r="P14" s="23"/>
      <c r="Q14" s="23"/>
      <c r="R14" s="24"/>
    </row>
    <row r="15" ht="30" customHeight="1" spans="1:18">
      <c r="A15" s="16" t="s">
        <v>193</v>
      </c>
      <c r="B15" s="17">
        <f>IFERROR(IF(INDEX(Proyectos!$A:$A,MATCH($A15,Proyectos!$C:$C,0))="","",INDEX(Proyectos!$A:$A,MATCH($A15,Proyectos!$C:$C,0))),"")</f>
        <v>3</v>
      </c>
      <c r="C15" s="18" t="str">
        <f>IFERROR(INDEX(Proyectos!$B:$B,MATCH($A15,Proyectos!$C:$C,0))&amp;"","")</f>
        <v>074</v>
      </c>
      <c r="D15" s="19" t="str">
        <f>IFERROR(INDEX(Proyectos!$D:$D,MATCH($A15,Proyectos!$C:$C,0))&amp;"","")</f>
        <v/>
      </c>
      <c r="E15" s="19" t="str">
        <f>IFERROR(INDEX(Proyectos!$E:$E,MATCH($A15,Proyectos!$C:$C,0))&amp;"","")</f>
        <v>E-commerce</v>
      </c>
      <c r="F15" s="19" t="str">
        <f>IFERROR(INDEX(Proyectos!$F:$F,MATCH($A15,Proyectos!$C:$C,0))&amp;"","")</f>
        <v>Por definir</v>
      </c>
      <c r="G15" s="19" t="str">
        <f>IFERROR(INDEX(Proyectos!$G:$G,MATCH($A15,Proyectos!$C:$C,0))&amp;"","")</f>
        <v>Diseño</v>
      </c>
      <c r="H15" s="20" t="str">
        <f>IFERROR(INDEX(Proyectos!$K:$K,MATCH($A15,Proyectos!$C:$C,0))&amp;"","")</f>
        <v>A</v>
      </c>
      <c r="I15" s="21" t="str">
        <f ca="1">IFERROR(INDEX(Proyectos!$L:$L,MATCH($A15,Proyectos!$C:$C,0))&amp;"","")</f>
        <v>CONGELAR HOY</v>
      </c>
      <c r="J15" s="19" t="str">
        <f>IFERROR(INDEX(Proyectos!$P:$P,MATCH($A15,Proyectos!$C:$C,0))&amp;"","")</f>
        <v>Completo</v>
      </c>
      <c r="K15" s="19" t="str">
        <f>IFERROR(INDEX(Proyectos!$Q:$Q,MATCH($A15,Proyectos!$C:$C,0))&amp;"","")</f>
        <v>Recibida con errores</v>
      </c>
      <c r="L15" s="21" t="str">
        <f>IFERROR(INDEX(Proyectos!$V:$V,MATCH($A15,Proyectos!$C:$C,0))&amp;"","")</f>
        <v>Fotos (comprometidas para la próxima semana)</v>
      </c>
      <c r="M15" s="22">
        <f>IFERROR(IF(INDEX(Proyectos!$W:$W,MATCH($A15,Proyectos!$C:$C,0))="","",INDEX(Proyectos!$W:$W,MATCH($A15,Proyectos!$C:$C,0))),"")</f>
        <v>46218</v>
      </c>
      <c r="N15" s="19">
        <f ca="1">IFERROR(INDEX(Proyectos!$X:$X,MATCH($A15,Proyectos!$C:$C,0)),"")</f>
        <v>19</v>
      </c>
      <c r="O15" s="21" t="str">
        <f>IFERROR(INDEX(Proyectos!$Y:$Y,MATCH($A15,Proyectos!$C:$C,0))&amp;"","")</f>
        <v>Cliente: Sebastian y Mauricio. Dev histórico: Aarón. PENDIENTE: subir las fotos al Drive. Pedir en el grupo que suban el brief al Drive para que Luis lo descargue.</v>
      </c>
      <c r="P15" s="23"/>
      <c r="Q15" s="23"/>
      <c r="R15" s="24"/>
    </row>
    <row r="16" ht="30" customHeight="1" spans="1:18">
      <c r="A16" s="16" t="s">
        <v>200</v>
      </c>
      <c r="B16" s="17">
        <f>IFERROR(IF(INDEX(Proyectos!$A:$A,MATCH($A16,Proyectos!$C:$C,0))="","",INDEX(Proyectos!$A:$A,MATCH($A16,Proyectos!$C:$C,0))),"")</f>
        <v>10</v>
      </c>
      <c r="C16" s="18" t="str">
        <f>IFERROR(INDEX(Proyectos!$B:$B,MATCH($A16,Proyectos!$C:$C,0))&amp;"","")</f>
        <v>076</v>
      </c>
      <c r="D16" s="19" t="str">
        <f>IFERROR(INDEX(Proyectos!$D:$D,MATCH($A16,Proyectos!$C:$C,0))&amp;"","")</f>
        <v/>
      </c>
      <c r="E16" s="19" t="str">
        <f>IFERROR(INDEX(Proyectos!$E:$E,MATCH($A16,Proyectos!$C:$C,0))&amp;"","")</f>
        <v>E-commerce</v>
      </c>
      <c r="F16" s="19" t="str">
        <f>IFERROR(INDEX(Proyectos!$F:$F,MATCH($A16,Proyectos!$C:$C,0))&amp;"","")</f>
        <v>Por definir</v>
      </c>
      <c r="G16" s="19" t="str">
        <f>IFERROR(INDEX(Proyectos!$G:$G,MATCH($A16,Proyectos!$C:$C,0))&amp;"","")</f>
        <v>Cola</v>
      </c>
      <c r="H16" s="20" t="str">
        <f>IFERROR(INDEX(Proyectos!$K:$K,MATCH($A16,Proyectos!$C:$C,0))&amp;"","")</f>
        <v>B</v>
      </c>
      <c r="I16" s="21" t="str">
        <f ca="1">IFERROR(INDEX(Proyectos!$L:$L,MATCH($A16,Proyectos!$C:$C,0))&amp;"","")</f>
        <v>CONGELAR HOY</v>
      </c>
      <c r="J16" s="19" t="str">
        <f>IFERROR(INDEX(Proyectos!$P:$P,MATCH($A16,Proyectos!$C:$C,0))&amp;"","")</f>
        <v>Incompleto</v>
      </c>
      <c r="K16" s="19" t="str">
        <f>IFERROR(INDEX(Proyectos!$Q:$Q,MATCH($A16,Proyectos!$C:$C,0))&amp;"","")</f>
        <v>No enviada</v>
      </c>
      <c r="L16" s="21" t="str">
        <f>IFERROR(INDEX(Proyectos!$V:$V,MATCH($A16,Proyectos!$C:$C,0))&amp;"","")</f>
        <v>Material de diseño en general</v>
      </c>
      <c r="M16" s="22">
        <f>IFERROR(IF(INDEX(Proyectos!$W:$W,MATCH($A16,Proyectos!$C:$C,0))="","",INDEX(Proyectos!$W:$W,MATCH($A16,Proyectos!$C:$C,0))),"")</f>
        <v>46218</v>
      </c>
      <c r="N16" s="19">
        <f ca="1">IFERROR(INDEX(Proyectos!$X:$X,MATCH($A16,Proyectos!$C:$C,0)),"")</f>
        <v>19</v>
      </c>
      <c r="O16" s="21" t="str">
        <f>IFERROR(INDEX(Proyectos!$Y:$Y,MATCH($A16,Proyectos!$C:$C,0))&amp;"","")</f>
        <v>Cliente: Raul Cabana. Dev histórico: Aarón.</v>
      </c>
      <c r="P16" s="23"/>
      <c r="Q16" s="23"/>
      <c r="R16" s="24"/>
    </row>
    <row r="17" ht="30" customHeight="1" spans="1:18">
      <c r="A17" s="16" t="s">
        <v>211</v>
      </c>
      <c r="B17" s="17" t="str">
        <f>IFERROR(IF(INDEX(Proyectos!$A:$A,MATCH($A17,Proyectos!$C:$C,0))="","",INDEX(Proyectos!$A:$A,MATCH($A17,Proyectos!$C:$C,0))),"")</f>
        <v/>
      </c>
      <c r="C17" s="18" t="str">
        <f>IFERROR(INDEX(Proyectos!$B:$B,MATCH($A17,Proyectos!$C:$C,0))&amp;"","")</f>
        <v>079</v>
      </c>
      <c r="D17" s="19" t="str">
        <f>IFERROR(INDEX(Proyectos!$D:$D,MATCH($A17,Proyectos!$C:$C,0))&amp;"","")</f>
        <v/>
      </c>
      <c r="E17" s="19" t="str">
        <f>IFERROR(INDEX(Proyectos!$E:$E,MATCH($A17,Proyectos!$C:$C,0))&amp;"","")</f>
        <v>Informativa</v>
      </c>
      <c r="F17" s="19" t="str">
        <f>IFERROR(INDEX(Proyectos!$F:$F,MATCH($A17,Proyectos!$C:$C,0))&amp;"","")</f>
        <v>Por definir</v>
      </c>
      <c r="G17" s="19" t="str">
        <f>IFERROR(INDEX(Proyectos!$G:$G,MATCH($A17,Proyectos!$C:$C,0))&amp;"","")</f>
        <v>Cola</v>
      </c>
      <c r="H17" s="20" t="str">
        <f>IFERROR(INDEX(Proyectos!$K:$K,MATCH($A17,Proyectos!$C:$C,0))&amp;"","")</f>
        <v>A</v>
      </c>
      <c r="I17" s="21" t="str">
        <f ca="1">IFERROR(INDEX(Proyectos!$L:$L,MATCH($A17,Proyectos!$C:$C,0))&amp;"","")</f>
        <v>Listo para asignar</v>
      </c>
      <c r="J17" s="19" t="str">
        <f>IFERROR(INDEX(Proyectos!$P:$P,MATCH($A17,Proyectos!$C:$C,0))&amp;"","")</f>
        <v>Completo</v>
      </c>
      <c r="K17" s="19" t="str">
        <f>IFERROR(INDEX(Proyectos!$Q:$Q,MATCH($A17,Proyectos!$C:$C,0))&amp;"","")</f>
        <v>No aplica</v>
      </c>
      <c r="L17" s="21" t="str">
        <f>IFERROR(INDEX(Proyectos!$V:$V,MATCH($A17,Proyectos!$C:$C,0))&amp;"","")</f>
        <v>Todo — sin información registrada aún</v>
      </c>
      <c r="M17" s="22" t="str">
        <f>IFERROR(IF(INDEX(Proyectos!$W:$W,MATCH($A17,Proyectos!$C:$C,0))="","",INDEX(Proyectos!$W:$W,MATCH($A17,Proyectos!$C:$C,0))),"")</f>
        <v/>
      </c>
      <c r="N17" s="19" t="str">
        <f ca="1">IFERROR(INDEX(Proyectos!$X:$X,MATCH($A17,Proyectos!$C:$C,0)),"")</f>
        <v/>
      </c>
      <c r="O17" s="21" t="str">
        <f>IFERROR(INDEX(Proyectos!$Y:$Y,MATCH($A17,Proyectos!$C:$C,0))&amp;"","")</f>
        <v>Dev histórico: Aarón. Cliente sin identificar en los registros — confirmar nombre. Viernes 24/07  cinco pm</v>
      </c>
      <c r="P17" s="23"/>
      <c r="Q17" s="23"/>
      <c r="R17" s="24"/>
    </row>
    <row r="18" ht="30" customHeight="1" spans="1:18">
      <c r="A18" s="16" t="s">
        <v>221</v>
      </c>
      <c r="B18" s="17" t="str">
        <f>IFERROR(IF(INDEX(Proyectos!$A:$A,MATCH($A18,Proyectos!$C:$C,0))="","",INDEX(Proyectos!$A:$A,MATCH($A18,Proyectos!$C:$C,0))),"")</f>
        <v/>
      </c>
      <c r="C18" s="18" t="str">
        <f>IFERROR(INDEX(Proyectos!$B:$B,MATCH($A18,Proyectos!$C:$C,0))&amp;"","")</f>
        <v/>
      </c>
      <c r="D18" s="19" t="str">
        <f>IFERROR(INDEX(Proyectos!$D:$D,MATCH($A18,Proyectos!$C:$C,0))&amp;"","")</f>
        <v/>
      </c>
      <c r="E18" s="19" t="str">
        <f>IFERROR(INDEX(Proyectos!$E:$E,MATCH($A18,Proyectos!$C:$C,0))&amp;"","")</f>
        <v>E-commerce</v>
      </c>
      <c r="F18" s="19" t="str">
        <f>IFERROR(INDEX(Proyectos!$F:$F,MATCH($A18,Proyectos!$C:$C,0))&amp;"","")</f>
        <v>Por definir</v>
      </c>
      <c r="G18" s="19" t="str">
        <f>IFERROR(INDEX(Proyectos!$G:$G,MATCH($A18,Proyectos!$C:$C,0))&amp;"","")</f>
        <v>Cerrado</v>
      </c>
      <c r="H18" s="20" t="str">
        <f>IFERROR(INDEX(Proyectos!$K:$K,MATCH($A18,Proyectos!$C:$C,0))&amp;"","")</f>
        <v>A</v>
      </c>
      <c r="I18" s="21" t="str">
        <f ca="1">IFERROR(INDEX(Proyectos!$L:$L,MATCH($A18,Proyectos!$C:$C,0))&amp;"","")</f>
        <v>Al día</v>
      </c>
      <c r="J18" s="19" t="str">
        <f>IFERROR(INDEX(Proyectos!$P:$P,MATCH($A18,Proyectos!$C:$C,0))&amp;"","")</f>
        <v>Completo</v>
      </c>
      <c r="K18" s="19" t="str">
        <f>IFERROR(INDEX(Proyectos!$Q:$Q,MATCH($A18,Proyectos!$C:$C,0))&amp;"","")</f>
        <v>Recibida y validada</v>
      </c>
      <c r="L18" s="21" t="str">
        <f>IFERROR(INDEX(Proyectos!$V:$V,MATCH($A18,Proyectos!$C:$C,0))&amp;"","")</f>
        <v>Todo — lead sin pago ni código</v>
      </c>
      <c r="M18" s="22" t="str">
        <f>IFERROR(IF(INDEX(Proyectos!$W:$W,MATCH($A18,Proyectos!$C:$C,0))="","",INDEX(Proyectos!$W:$W,MATCH($A18,Proyectos!$C:$C,0))),"")</f>
        <v/>
      </c>
      <c r="N18" s="19" t="str">
        <f ca="1">IFERROR(INDEX(Proyectos!$X:$X,MATCH($A18,Proyectos!$C:$C,0)),"")</f>
        <v/>
      </c>
      <c r="O18" s="21" t="str">
        <f>IFERROR(INDEX(Proyectos!$Y:$Y,MATCH($A18,Proyectos!$C:$C,0))&amp;"","")</f>
        <v>Cliente: Joselyn Mendoza Vasquez.</v>
      </c>
      <c r="P18" s="23"/>
      <c r="Q18" s="23"/>
      <c r="R18" s="24"/>
    </row>
    <row r="19" ht="30" customHeight="1" spans="1:18">
      <c r="A19" s="16" t="s">
        <v>246</v>
      </c>
      <c r="B19" s="17" t="str">
        <f>IFERROR(IF(INDEX(Proyectos!$A:$A,MATCH($A19,Proyectos!$C:$C,0))="","",INDEX(Proyectos!$A:$A,MATCH($A19,Proyectos!$C:$C,0))),"")</f>
        <v/>
      </c>
      <c r="C19" s="18" t="str">
        <f>IFERROR(INDEX(Proyectos!$B:$B,MATCH($A19,Proyectos!$C:$C,0))&amp;"","")</f>
        <v/>
      </c>
      <c r="D19" s="19" t="str">
        <f>IFERROR(INDEX(Proyectos!$D:$D,MATCH($A19,Proyectos!$C:$C,0))&amp;"","")</f>
        <v/>
      </c>
      <c r="E19" s="19" t="str">
        <f>IFERROR(INDEX(Proyectos!$E:$E,MATCH($A19,Proyectos!$C:$C,0))&amp;"","")</f>
        <v>E-commerce</v>
      </c>
      <c r="F19" s="19" t="str">
        <f>IFERROR(INDEX(Proyectos!$F:$F,MATCH($A19,Proyectos!$C:$C,0))&amp;"","")</f>
        <v>Por definir</v>
      </c>
      <c r="G19" s="19" t="str">
        <f>IFERROR(INDEX(Proyectos!$G:$G,MATCH($A19,Proyectos!$C:$C,0))&amp;"","")</f>
        <v>Congelado</v>
      </c>
      <c r="H19" s="20" t="str">
        <f>IFERROR(INDEX(Proyectos!$K:$K,MATCH($A19,Proyectos!$C:$C,0))&amp;"","")</f>
        <v>B</v>
      </c>
      <c r="I19" s="21" t="str">
        <f ca="1">IFERROR(INDEX(Proyectos!$L:$L,MATCH($A19,Proyectos!$C:$C,0))&amp;"","")</f>
        <v>Congelado — mensaje cada 15 días</v>
      </c>
      <c r="J19" s="19" t="str">
        <f>IFERROR(INDEX(Proyectos!$P:$P,MATCH($A19,Proyectos!$C:$C,0))&amp;"","")</f>
        <v>Nada</v>
      </c>
      <c r="K19" s="19" t="str">
        <f>IFERROR(INDEX(Proyectos!$Q:$Q,MATCH($A19,Proyectos!$C:$C,0))&amp;"","")</f>
        <v>No aplica</v>
      </c>
      <c r="L19" s="21" t="str">
        <f>IFERROR(INDEX(Proyectos!$V:$V,MATCH($A19,Proyectos!$C:$C,0))&amp;"","")</f>
        <v>Todo — lead sin pago ni código</v>
      </c>
      <c r="M19" s="22" t="str">
        <f>IFERROR(IF(INDEX(Proyectos!$W:$W,MATCH($A19,Proyectos!$C:$C,0))="","",INDEX(Proyectos!$W:$W,MATCH($A19,Proyectos!$C:$C,0))),"")</f>
        <v/>
      </c>
      <c r="N19" s="19" t="str">
        <f ca="1">IFERROR(INDEX(Proyectos!$X:$X,MATCH($A19,Proyectos!$C:$C,0)),"")</f>
        <v/>
      </c>
      <c r="O19" s="21" t="str">
        <f>IFERROR(INDEX(Proyectos!$Y:$Y,MATCH($A19,Proyectos!$C:$C,0))&amp;"","")</f>
        <v>Cliente: Rugui. Primer contacto registrado 5/6/2026. Recuperado de la hoja de Aarón (no estaba en Proyectos).</v>
      </c>
      <c r="P19" s="23"/>
      <c r="Q19" s="23"/>
      <c r="R19" s="24"/>
    </row>
    <row r="20" ht="30" customHeight="1" spans="1:18">
      <c r="A20" s="16"/>
      <c r="B20" s="17" t="str">
        <f>IFERROR(IF(INDEX(Proyectos!$A:$A,MATCH($A20,Proyectos!$C:$C,0))="","",INDEX(Proyectos!$A:$A,MATCH($A20,Proyectos!$C:$C,0))),"")</f>
        <v/>
      </c>
      <c r="C20" s="18" t="str">
        <f>IFERROR(INDEX(Proyectos!$B:$B,MATCH($A20,Proyectos!$C:$C,0))&amp;"","")</f>
        <v/>
      </c>
      <c r="D20" s="19" t="str">
        <f>IFERROR(INDEX(Proyectos!$D:$D,MATCH($A20,Proyectos!$C:$C,0))&amp;"","")</f>
        <v/>
      </c>
      <c r="E20" s="19" t="str">
        <f>IFERROR(INDEX(Proyectos!$E:$E,MATCH($A20,Proyectos!$C:$C,0))&amp;"","")</f>
        <v/>
      </c>
      <c r="F20" s="19" t="str">
        <f>IFERROR(INDEX(Proyectos!$F:$F,MATCH($A20,Proyectos!$C:$C,0))&amp;"","")</f>
        <v/>
      </c>
      <c r="G20" s="19" t="str">
        <f>IFERROR(INDEX(Proyectos!$G:$G,MATCH($A20,Proyectos!$C:$C,0))&amp;"","")</f>
        <v/>
      </c>
      <c r="H20" s="20" t="str">
        <f>IFERROR(INDEX(Proyectos!$K:$K,MATCH($A20,Proyectos!$C:$C,0))&amp;"","")</f>
        <v/>
      </c>
      <c r="I20" s="21" t="str">
        <f ca="1">IFERROR(INDEX(Proyectos!$L:$L,MATCH($A20,Proyectos!$C:$C,0))&amp;"","")</f>
        <v/>
      </c>
      <c r="J20" s="19" t="str">
        <f>IFERROR(INDEX(Proyectos!$P:$P,MATCH($A20,Proyectos!$C:$C,0))&amp;"","")</f>
        <v/>
      </c>
      <c r="K20" s="19" t="str">
        <f>IFERROR(INDEX(Proyectos!$Q:$Q,MATCH($A20,Proyectos!$C:$C,0))&amp;"","")</f>
        <v/>
      </c>
      <c r="L20" s="21" t="str">
        <f>IFERROR(INDEX(Proyectos!$V:$V,MATCH($A20,Proyectos!$C:$C,0))&amp;"","")</f>
        <v/>
      </c>
      <c r="M20" s="22" t="str">
        <f>IFERROR(IF(INDEX(Proyectos!$W:$W,MATCH($A20,Proyectos!$C:$C,0))="","",INDEX(Proyectos!$W:$W,MATCH($A20,Proyectos!$C:$C,0))),"")</f>
        <v/>
      </c>
      <c r="N20" s="19" t="str">
        <f ca="1">IFERROR(INDEX(Proyectos!$X:$X,MATCH($A20,Proyectos!$C:$C,0)),"")</f>
        <v/>
      </c>
      <c r="O20" s="21" t="str">
        <f>IFERROR(INDEX(Proyectos!$Y:$Y,MATCH($A20,Proyectos!$C:$C,0))&amp;"","")</f>
        <v/>
      </c>
      <c r="P20" s="23"/>
      <c r="Q20" s="23"/>
      <c r="R20" s="24"/>
    </row>
    <row r="21" ht="30" customHeight="1" spans="1:18">
      <c r="A21" s="16"/>
      <c r="B21" s="17" t="str">
        <f>IFERROR(IF(INDEX(Proyectos!$A:$A,MATCH($A21,Proyectos!$C:$C,0))="","",INDEX(Proyectos!$A:$A,MATCH($A21,Proyectos!$C:$C,0))),"")</f>
        <v/>
      </c>
      <c r="C21" s="18" t="str">
        <f>IFERROR(INDEX(Proyectos!$B:$B,MATCH($A21,Proyectos!$C:$C,0))&amp;"","")</f>
        <v/>
      </c>
      <c r="D21" s="19" t="str">
        <f>IFERROR(INDEX(Proyectos!$D:$D,MATCH($A21,Proyectos!$C:$C,0))&amp;"","")</f>
        <v/>
      </c>
      <c r="E21" s="19" t="str">
        <f>IFERROR(INDEX(Proyectos!$E:$E,MATCH($A21,Proyectos!$C:$C,0))&amp;"","")</f>
        <v/>
      </c>
      <c r="F21" s="19" t="str">
        <f>IFERROR(INDEX(Proyectos!$F:$F,MATCH($A21,Proyectos!$C:$C,0))&amp;"","")</f>
        <v/>
      </c>
      <c r="G21" s="19" t="str">
        <f>IFERROR(INDEX(Proyectos!$G:$G,MATCH($A21,Proyectos!$C:$C,0))&amp;"","")</f>
        <v/>
      </c>
      <c r="H21" s="20" t="str">
        <f>IFERROR(INDEX(Proyectos!$K:$K,MATCH($A21,Proyectos!$C:$C,0))&amp;"","")</f>
        <v/>
      </c>
      <c r="I21" s="21" t="str">
        <f ca="1">IFERROR(INDEX(Proyectos!$L:$L,MATCH($A21,Proyectos!$C:$C,0))&amp;"","")</f>
        <v/>
      </c>
      <c r="J21" s="19" t="str">
        <f>IFERROR(INDEX(Proyectos!$P:$P,MATCH($A21,Proyectos!$C:$C,0))&amp;"","")</f>
        <v/>
      </c>
      <c r="K21" s="19" t="str">
        <f>IFERROR(INDEX(Proyectos!$Q:$Q,MATCH($A21,Proyectos!$C:$C,0))&amp;"","")</f>
        <v/>
      </c>
      <c r="L21" s="21" t="str">
        <f>IFERROR(INDEX(Proyectos!$V:$V,MATCH($A21,Proyectos!$C:$C,0))&amp;"","")</f>
        <v/>
      </c>
      <c r="M21" s="22" t="str">
        <f>IFERROR(IF(INDEX(Proyectos!$W:$W,MATCH($A21,Proyectos!$C:$C,0))="","",INDEX(Proyectos!$W:$W,MATCH($A21,Proyectos!$C:$C,0))),"")</f>
        <v/>
      </c>
      <c r="N21" s="19" t="str">
        <f ca="1">IFERROR(INDEX(Proyectos!$X:$X,MATCH($A21,Proyectos!$C:$C,0)),"")</f>
        <v/>
      </c>
      <c r="O21" s="21" t="str">
        <f>IFERROR(INDEX(Proyectos!$Y:$Y,MATCH($A21,Proyectos!$C:$C,0))&amp;"","")</f>
        <v/>
      </c>
      <c r="P21" s="23"/>
      <c r="Q21" s="23"/>
      <c r="R21" s="24"/>
    </row>
    <row r="22" ht="30" customHeight="1" spans="1:18">
      <c r="A22" s="16"/>
      <c r="B22" s="17" t="str">
        <f>IFERROR(IF(INDEX(Proyectos!$A:$A,MATCH($A22,Proyectos!$C:$C,0))="","",INDEX(Proyectos!$A:$A,MATCH($A22,Proyectos!$C:$C,0))),"")</f>
        <v/>
      </c>
      <c r="C22" s="18" t="str">
        <f>IFERROR(INDEX(Proyectos!$B:$B,MATCH($A22,Proyectos!$C:$C,0))&amp;"","")</f>
        <v/>
      </c>
      <c r="D22" s="19" t="str">
        <f>IFERROR(INDEX(Proyectos!$D:$D,MATCH($A22,Proyectos!$C:$C,0))&amp;"","")</f>
        <v/>
      </c>
      <c r="E22" s="19" t="str">
        <f>IFERROR(INDEX(Proyectos!$E:$E,MATCH($A22,Proyectos!$C:$C,0))&amp;"","")</f>
        <v/>
      </c>
      <c r="F22" s="19" t="str">
        <f>IFERROR(INDEX(Proyectos!$F:$F,MATCH($A22,Proyectos!$C:$C,0))&amp;"","")</f>
        <v/>
      </c>
      <c r="G22" s="19" t="str">
        <f>IFERROR(INDEX(Proyectos!$G:$G,MATCH($A22,Proyectos!$C:$C,0))&amp;"","")</f>
        <v/>
      </c>
      <c r="H22" s="20" t="str">
        <f>IFERROR(INDEX(Proyectos!$K:$K,MATCH($A22,Proyectos!$C:$C,0))&amp;"","")</f>
        <v/>
      </c>
      <c r="I22" s="21" t="str">
        <f ca="1">IFERROR(INDEX(Proyectos!$L:$L,MATCH($A22,Proyectos!$C:$C,0))&amp;"","")</f>
        <v/>
      </c>
      <c r="J22" s="19" t="str">
        <f>IFERROR(INDEX(Proyectos!$P:$P,MATCH($A22,Proyectos!$C:$C,0))&amp;"","")</f>
        <v/>
      </c>
      <c r="K22" s="19" t="str">
        <f>IFERROR(INDEX(Proyectos!$Q:$Q,MATCH($A22,Proyectos!$C:$C,0))&amp;"","")</f>
        <v/>
      </c>
      <c r="L22" s="21" t="str">
        <f>IFERROR(INDEX(Proyectos!$V:$V,MATCH($A22,Proyectos!$C:$C,0))&amp;"","")</f>
        <v/>
      </c>
      <c r="M22" s="22" t="str">
        <f>IFERROR(IF(INDEX(Proyectos!$W:$W,MATCH($A22,Proyectos!$C:$C,0))="","",INDEX(Proyectos!$W:$W,MATCH($A22,Proyectos!$C:$C,0))),"")</f>
        <v/>
      </c>
      <c r="N22" s="19" t="str">
        <f ca="1">IFERROR(INDEX(Proyectos!$X:$X,MATCH($A22,Proyectos!$C:$C,0)),"")</f>
        <v/>
      </c>
      <c r="O22" s="21" t="str">
        <f>IFERROR(INDEX(Proyectos!$Y:$Y,MATCH($A22,Proyectos!$C:$C,0))&amp;"","")</f>
        <v/>
      </c>
      <c r="P22" s="23"/>
      <c r="Q22" s="23"/>
      <c r="R22" s="24"/>
    </row>
    <row r="23" ht="30" customHeight="1" spans="1:18">
      <c r="A23" s="16"/>
      <c r="B23" s="17" t="str">
        <f>IFERROR(IF(INDEX(Proyectos!$A:$A,MATCH($A23,Proyectos!$C:$C,0))="","",INDEX(Proyectos!$A:$A,MATCH($A23,Proyectos!$C:$C,0))),"")</f>
        <v/>
      </c>
      <c r="C23" s="18" t="str">
        <f>IFERROR(INDEX(Proyectos!$B:$B,MATCH($A23,Proyectos!$C:$C,0))&amp;"","")</f>
        <v/>
      </c>
      <c r="D23" s="19" t="str">
        <f>IFERROR(INDEX(Proyectos!$D:$D,MATCH($A23,Proyectos!$C:$C,0))&amp;"","")</f>
        <v/>
      </c>
      <c r="E23" s="19" t="str">
        <f>IFERROR(INDEX(Proyectos!$E:$E,MATCH($A23,Proyectos!$C:$C,0))&amp;"","")</f>
        <v/>
      </c>
      <c r="F23" s="19" t="str">
        <f>IFERROR(INDEX(Proyectos!$F:$F,MATCH($A23,Proyectos!$C:$C,0))&amp;"","")</f>
        <v/>
      </c>
      <c r="G23" s="19" t="str">
        <f>IFERROR(INDEX(Proyectos!$G:$G,MATCH($A23,Proyectos!$C:$C,0))&amp;"","")</f>
        <v/>
      </c>
      <c r="H23" s="20" t="str">
        <f>IFERROR(INDEX(Proyectos!$K:$K,MATCH($A23,Proyectos!$C:$C,0))&amp;"","")</f>
        <v/>
      </c>
      <c r="I23" s="21" t="str">
        <f ca="1">IFERROR(INDEX(Proyectos!$L:$L,MATCH($A23,Proyectos!$C:$C,0))&amp;"","")</f>
        <v/>
      </c>
      <c r="J23" s="19" t="str">
        <f>IFERROR(INDEX(Proyectos!$P:$P,MATCH($A23,Proyectos!$C:$C,0))&amp;"","")</f>
        <v/>
      </c>
      <c r="K23" s="19" t="str">
        <f>IFERROR(INDEX(Proyectos!$Q:$Q,MATCH($A23,Proyectos!$C:$C,0))&amp;"","")</f>
        <v/>
      </c>
      <c r="L23" s="21" t="str">
        <f>IFERROR(INDEX(Proyectos!$V:$V,MATCH($A23,Proyectos!$C:$C,0))&amp;"","")</f>
        <v/>
      </c>
      <c r="M23" s="22" t="str">
        <f>IFERROR(IF(INDEX(Proyectos!$W:$W,MATCH($A23,Proyectos!$C:$C,0))="","",INDEX(Proyectos!$W:$W,MATCH($A23,Proyectos!$C:$C,0))),"")</f>
        <v/>
      </c>
      <c r="N23" s="19" t="str">
        <f ca="1">IFERROR(INDEX(Proyectos!$X:$X,MATCH($A23,Proyectos!$C:$C,0)),"")</f>
        <v/>
      </c>
      <c r="O23" s="21" t="str">
        <f>IFERROR(INDEX(Proyectos!$Y:$Y,MATCH($A23,Proyectos!$C:$C,0))&amp;"","")</f>
        <v/>
      </c>
      <c r="P23" s="23"/>
      <c r="Q23" s="23"/>
      <c r="R23" s="24"/>
    </row>
    <row r="24" ht="30" customHeight="1" spans="1:18">
      <c r="A24" s="16"/>
      <c r="B24" s="17" t="str">
        <f>IFERROR(IF(INDEX(Proyectos!$A:$A,MATCH($A24,Proyectos!$C:$C,0))="","",INDEX(Proyectos!$A:$A,MATCH($A24,Proyectos!$C:$C,0))),"")</f>
        <v/>
      </c>
      <c r="C24" s="18" t="str">
        <f>IFERROR(INDEX(Proyectos!$B:$B,MATCH($A24,Proyectos!$C:$C,0))&amp;"","")</f>
        <v/>
      </c>
      <c r="D24" s="19" t="str">
        <f>IFERROR(INDEX(Proyectos!$D:$D,MATCH($A24,Proyectos!$C:$C,0))&amp;"","")</f>
        <v/>
      </c>
      <c r="E24" s="19" t="str">
        <f>IFERROR(INDEX(Proyectos!$E:$E,MATCH($A24,Proyectos!$C:$C,0))&amp;"","")</f>
        <v/>
      </c>
      <c r="F24" s="19" t="str">
        <f>IFERROR(INDEX(Proyectos!$F:$F,MATCH($A24,Proyectos!$C:$C,0))&amp;"","")</f>
        <v/>
      </c>
      <c r="G24" s="19" t="str">
        <f>IFERROR(INDEX(Proyectos!$G:$G,MATCH($A24,Proyectos!$C:$C,0))&amp;"","")</f>
        <v/>
      </c>
      <c r="H24" s="20" t="str">
        <f>IFERROR(INDEX(Proyectos!$K:$K,MATCH($A24,Proyectos!$C:$C,0))&amp;"","")</f>
        <v/>
      </c>
      <c r="I24" s="21" t="str">
        <f ca="1">IFERROR(INDEX(Proyectos!$L:$L,MATCH($A24,Proyectos!$C:$C,0))&amp;"","")</f>
        <v/>
      </c>
      <c r="J24" s="19" t="str">
        <f>IFERROR(INDEX(Proyectos!$P:$P,MATCH($A24,Proyectos!$C:$C,0))&amp;"","")</f>
        <v/>
      </c>
      <c r="K24" s="19" t="str">
        <f>IFERROR(INDEX(Proyectos!$Q:$Q,MATCH($A24,Proyectos!$C:$C,0))&amp;"","")</f>
        <v/>
      </c>
      <c r="L24" s="21" t="str">
        <f>IFERROR(INDEX(Proyectos!$V:$V,MATCH($A24,Proyectos!$C:$C,0))&amp;"","")</f>
        <v/>
      </c>
      <c r="M24" s="22" t="str">
        <f>IFERROR(IF(INDEX(Proyectos!$W:$W,MATCH($A24,Proyectos!$C:$C,0))="","",INDEX(Proyectos!$W:$W,MATCH($A24,Proyectos!$C:$C,0))),"")</f>
        <v/>
      </c>
      <c r="N24" s="19" t="str">
        <f ca="1">IFERROR(INDEX(Proyectos!$X:$X,MATCH($A24,Proyectos!$C:$C,0)),"")</f>
        <v/>
      </c>
      <c r="O24" s="21" t="str">
        <f>IFERROR(INDEX(Proyectos!$Y:$Y,MATCH($A24,Proyectos!$C:$C,0))&amp;"","")</f>
        <v/>
      </c>
      <c r="P24" s="23"/>
      <c r="Q24" s="23"/>
      <c r="R24" s="24"/>
    </row>
    <row r="25" ht="30" customHeight="1" spans="1:18">
      <c r="A25" s="16"/>
      <c r="B25" s="17" t="str">
        <f>IFERROR(IF(INDEX(Proyectos!$A:$A,MATCH($A25,Proyectos!$C:$C,0))="","",INDEX(Proyectos!$A:$A,MATCH($A25,Proyectos!$C:$C,0))),"")</f>
        <v/>
      </c>
      <c r="C25" s="18" t="str">
        <f>IFERROR(INDEX(Proyectos!$B:$B,MATCH($A25,Proyectos!$C:$C,0))&amp;"","")</f>
        <v/>
      </c>
      <c r="D25" s="19" t="str">
        <f>IFERROR(INDEX(Proyectos!$D:$D,MATCH($A25,Proyectos!$C:$C,0))&amp;"","")</f>
        <v/>
      </c>
      <c r="E25" s="19" t="str">
        <f>IFERROR(INDEX(Proyectos!$E:$E,MATCH($A25,Proyectos!$C:$C,0))&amp;"","")</f>
        <v/>
      </c>
      <c r="F25" s="19" t="str">
        <f>IFERROR(INDEX(Proyectos!$F:$F,MATCH($A25,Proyectos!$C:$C,0))&amp;"","")</f>
        <v/>
      </c>
      <c r="G25" s="19" t="str">
        <f>IFERROR(INDEX(Proyectos!$G:$G,MATCH($A25,Proyectos!$C:$C,0))&amp;"","")</f>
        <v/>
      </c>
      <c r="H25" s="20" t="str">
        <f>IFERROR(INDEX(Proyectos!$K:$K,MATCH($A25,Proyectos!$C:$C,0))&amp;"","")</f>
        <v/>
      </c>
      <c r="I25" s="21" t="str">
        <f ca="1">IFERROR(INDEX(Proyectos!$L:$L,MATCH($A25,Proyectos!$C:$C,0))&amp;"","")</f>
        <v/>
      </c>
      <c r="J25" s="19" t="str">
        <f>IFERROR(INDEX(Proyectos!$P:$P,MATCH($A25,Proyectos!$C:$C,0))&amp;"","")</f>
        <v/>
      </c>
      <c r="K25" s="19" t="str">
        <f>IFERROR(INDEX(Proyectos!$Q:$Q,MATCH($A25,Proyectos!$C:$C,0))&amp;"","")</f>
        <v/>
      </c>
      <c r="L25" s="21" t="str">
        <f>IFERROR(INDEX(Proyectos!$V:$V,MATCH($A25,Proyectos!$C:$C,0))&amp;"","")</f>
        <v/>
      </c>
      <c r="M25" s="22" t="str">
        <f>IFERROR(IF(INDEX(Proyectos!$W:$W,MATCH($A25,Proyectos!$C:$C,0))="","",INDEX(Proyectos!$W:$W,MATCH($A25,Proyectos!$C:$C,0))),"")</f>
        <v/>
      </c>
      <c r="N25" s="19" t="str">
        <f ca="1">IFERROR(INDEX(Proyectos!$X:$X,MATCH($A25,Proyectos!$C:$C,0)),"")</f>
        <v/>
      </c>
      <c r="O25" s="21" t="str">
        <f>IFERROR(INDEX(Proyectos!$Y:$Y,MATCH($A25,Proyectos!$C:$C,0))&amp;"","")</f>
        <v/>
      </c>
      <c r="P25" s="23"/>
      <c r="Q25" s="23"/>
      <c r="R25" s="24"/>
    </row>
  </sheetData>
  <mergeCells count="3">
    <mergeCell ref="A1:R1"/>
    <mergeCell ref="A2:R2"/>
    <mergeCell ref="A3:R3"/>
  </mergeCells>
  <conditionalFormatting sqref="D6:D25">
    <cfRule type="expression" dxfId="0" priority="15">
      <formula>AND($A6&lt;&gt;"",$D6="")</formula>
    </cfRule>
  </conditionalFormatting>
  <conditionalFormatting sqref="H6:H25">
    <cfRule type="expression" dxfId="6" priority="7">
      <formula>$H6="A"</formula>
    </cfRule>
    <cfRule type="expression" dxfId="0" priority="8">
      <formula>$H6="B"</formula>
    </cfRule>
    <cfRule type="expression" dxfId="1" priority="9">
      <formula>$H6="C"</formula>
    </cfRule>
  </conditionalFormatting>
  <conditionalFormatting sqref="I6:I25">
    <cfRule type="expression" dxfId="1" priority="10">
      <formula>ISNUMBER(SEARCH("CONGELAR",$I6))</formula>
    </cfRule>
    <cfRule type="expression" dxfId="0" priority="11">
      <formula>ISNUMBER(SEARCH("COBRAR",$I6))</formula>
    </cfRule>
    <cfRule type="expression" dxfId="0" priority="12">
      <formula>ISNUMBER(SEARCH("PERSEGUIR",$I6))</formula>
    </cfRule>
    <cfRule type="expression" dxfId="6" priority="13">
      <formula>OR($I6="Al día",$I6="Listo para asignar")</formula>
    </cfRule>
  </conditionalFormatting>
  <conditionalFormatting sqref="N6:N25">
    <cfRule type="cellIs" dxfId="7" priority="14" operator="greaterThan">
      <formula>15</formula>
    </cfRule>
  </conditionalFormatting>
  <conditionalFormatting sqref="P6:P25">
    <cfRule type="expression" dxfId="5" priority="2">
      <formula>$P6="Listo — avanzar"</formula>
    </cfRule>
    <cfRule type="expression" dxfId="5" priority="3">
      <formula>$P6="Entregado"</formula>
    </cfRule>
    <cfRule type="expression" dxfId="2" priority="4">
      <formula>$P6="Trabado — necesito ayuda"</formula>
    </cfRule>
    <cfRule type="expression" dxfId="3" priority="5">
      <formula>$P6="Esperando al cliente"</formula>
    </cfRule>
    <cfRule type="expression" dxfId="4" priority="6">
      <formula>$P6="En curso"</formula>
    </cfRule>
  </conditionalFormatting>
  <dataValidations count="1">
    <dataValidation type="list" allowBlank="1" sqref="P6:P25">
      <formula1>"En curso,Listo — avanzar,Trabado — necesito ayuda,Esperando al cliente,Entregado"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:R1"/>
    </sheetView>
  </sheetViews>
  <sheetFormatPr defaultColWidth="8.67619047619048" defaultRowHeight="15"/>
  <cols>
    <col min="1" max="1" width="24" customWidth="1"/>
    <col min="2" max="3" width="9" customWidth="1"/>
    <col min="4" max="4" width="28" customWidth="1"/>
    <col min="5" max="5" width="12" customWidth="1"/>
    <col min="6" max="6" width="14" customWidth="1"/>
    <col min="7" max="7" width="18" customWidth="1"/>
    <col min="8" max="8" width="7" customWidth="1"/>
    <col min="9" max="9" width="30" customWidth="1"/>
    <col min="10" max="10" width="15" customWidth="1"/>
    <col min="11" max="11" width="18" customWidth="1"/>
    <col min="12" max="12" width="28" customWidth="1"/>
    <col min="13" max="13" width="15" customWidth="1"/>
    <col min="14" max="14" width="11" customWidth="1"/>
    <col min="15" max="15" width="34" customWidth="1"/>
    <col min="16" max="16" width="26" customWidth="1"/>
    <col min="17" max="17" width="34" customWidth="1"/>
    <col min="18" max="18" width="12" customWidth="1"/>
  </cols>
  <sheetData>
    <row r="1" ht="27.75" customHeight="1" spans="1:18">
      <c r="A1" s="12" t="s">
        <v>292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A2" s="13" t="s">
        <v>293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30" customHeight="1" spans="1:18">
      <c r="A3" s="14" t="s">
        <v>289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7.5" customHeight="1"/>
    <row r="5" ht="31.5" customHeight="1" spans="1:18">
      <c r="A5" s="15" t="s">
        <v>32</v>
      </c>
      <c r="B5" s="15" t="s">
        <v>280</v>
      </c>
      <c r="C5" s="15" t="s">
        <v>31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40</v>
      </c>
      <c r="I5" s="15" t="s">
        <v>41</v>
      </c>
      <c r="J5" s="15" t="s">
        <v>45</v>
      </c>
      <c r="K5" s="15" t="s">
        <v>46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290</v>
      </c>
      <c r="Q5" s="15" t="s">
        <v>291</v>
      </c>
      <c r="R5" s="15" t="s">
        <v>283</v>
      </c>
    </row>
    <row r="6" ht="30" customHeight="1" spans="1:18">
      <c r="A6" s="16" t="s">
        <v>109</v>
      </c>
      <c r="B6" s="17" t="str">
        <f>IFERROR(IF(INDEX(Proyectos!$A:$A,MATCH($A6,Proyectos!$C:$C,0))="","",INDEX(Proyectos!$A:$A,MATCH($A6,Proyectos!$C:$C,0))),"")</f>
        <v/>
      </c>
      <c r="C6" s="18" t="str">
        <f>IFERROR(INDEX(Proyectos!$B:$B,MATCH($A6,Proyectos!$C:$C,0))&amp;"","")</f>
        <v>041</v>
      </c>
      <c r="D6" s="19" t="str">
        <f>IFERROR(INDEX(Proyectos!$D:$D,MATCH($A6,Proyectos!$C:$C,0))&amp;"","")</f>
        <v/>
      </c>
      <c r="E6" s="19" t="str">
        <f>IFERROR(INDEX(Proyectos!$E:$E,MATCH($A6,Proyectos!$C:$C,0))&amp;"","")</f>
        <v>E-commerce</v>
      </c>
      <c r="F6" s="19" t="str">
        <f>IFERROR(INDEX(Proyectos!$F:$F,MATCH($A6,Proyectos!$C:$C,0))&amp;"","")</f>
        <v>Por definir</v>
      </c>
      <c r="G6" s="19" t="str">
        <f>IFERROR(INDEX(Proyectos!$G:$G,MATCH($A6,Proyectos!$C:$C,0))&amp;"","")</f>
        <v>Congelado</v>
      </c>
      <c r="H6" s="20" t="str">
        <f>IFERROR(INDEX(Proyectos!$K:$K,MATCH($A6,Proyectos!$C:$C,0))&amp;"","")</f>
        <v>A</v>
      </c>
      <c r="I6" s="21" t="str">
        <f ca="1">IFERROR(INDEX(Proyectos!$L:$L,MATCH($A6,Proyectos!$C:$C,0))&amp;"","")</f>
        <v>Congelado — mensaje cada 15 días</v>
      </c>
      <c r="J6" s="19" t="str">
        <f>IFERROR(INDEX(Proyectos!$P:$P,MATCH($A6,Proyectos!$C:$C,0))&amp;"","")</f>
        <v>Completo</v>
      </c>
      <c r="K6" s="19" t="str">
        <f>IFERROR(INDEX(Proyectos!$Q:$Q,MATCH($A6,Proyectos!$C:$C,0))&amp;"","")</f>
        <v>Recibida con errores</v>
      </c>
      <c r="L6" s="21" t="str">
        <f>IFERROR(INDEX(Proyectos!$V:$V,MATCH($A6,Proyectos!$C:$C,0))&amp;"","")</f>
        <v>Reunión agendada</v>
      </c>
      <c r="M6" s="22">
        <f>IFERROR(IF(INDEX(Proyectos!$W:$W,MATCH($A6,Proyectos!$C:$C,0))="","",INDEX(Proyectos!$W:$W,MATCH($A6,Proyectos!$C:$C,0))),"")</f>
        <v>46216</v>
      </c>
      <c r="N6" s="19">
        <f ca="1">IFERROR(INDEX(Proyectos!$X:$X,MATCH($A6,Proyectos!$C:$C,0)),"")</f>
        <v>21</v>
      </c>
      <c r="O6" s="21" t="str">
        <f>IFERROR(INDEX(Proyectos!$Y:$Y,MATCH($A6,Proyectos!$C:$C,0))&amp;"","")</f>
        <v>Cliente: Natasha Marval y Vanessa Ayvar. Dev histórico: Rubit. - Perseguir material a partir del   5/08</v>
      </c>
      <c r="P6" s="23"/>
      <c r="Q6" s="23"/>
      <c r="R6" s="24"/>
    </row>
    <row r="7" ht="30" customHeight="1" spans="1:18">
      <c r="A7" s="16" t="s">
        <v>123</v>
      </c>
      <c r="B7" s="17" t="str">
        <f>IFERROR(IF(INDEX(Proyectos!$A:$A,MATCH($A7,Proyectos!$C:$C,0))="","",INDEX(Proyectos!$A:$A,MATCH($A7,Proyectos!$C:$C,0))),"")</f>
        <v/>
      </c>
      <c r="C7" s="18" t="str">
        <f>IFERROR(INDEX(Proyectos!$B:$B,MATCH($A7,Proyectos!$C:$C,0))&amp;"","")</f>
        <v>054</v>
      </c>
      <c r="D7" s="19" t="str">
        <f>IFERROR(INDEX(Proyectos!$D:$D,MATCH($A7,Proyectos!$C:$C,0))&amp;"","")</f>
        <v/>
      </c>
      <c r="E7" s="19" t="str">
        <f>IFERROR(INDEX(Proyectos!$E:$E,MATCH($A7,Proyectos!$C:$C,0))&amp;"","")</f>
        <v>Informativa</v>
      </c>
      <c r="F7" s="19" t="str">
        <f>IFERROR(INDEX(Proyectos!$F:$F,MATCH($A7,Proyectos!$C:$C,0))&amp;"","")</f>
        <v>WooCommerce</v>
      </c>
      <c r="G7" s="19" t="str">
        <f>IFERROR(INDEX(Proyectos!$G:$G,MATCH($A7,Proyectos!$C:$C,0))&amp;"","")</f>
        <v>Cerrado</v>
      </c>
      <c r="H7" s="20" t="str">
        <f>IFERROR(INDEX(Proyectos!$K:$K,MATCH($A7,Proyectos!$C:$C,0))&amp;"","")</f>
        <v>A</v>
      </c>
      <c r="I7" s="21" t="str">
        <f ca="1">IFERROR(INDEX(Proyectos!$L:$L,MATCH($A7,Proyectos!$C:$C,0))&amp;"","")</f>
        <v>CONGELAR HOY</v>
      </c>
      <c r="J7" s="19" t="str">
        <f>IFERROR(INDEX(Proyectos!$P:$P,MATCH($A7,Proyectos!$C:$C,0))&amp;"","")</f>
        <v>Completo</v>
      </c>
      <c r="K7" s="19" t="str">
        <f>IFERROR(INDEX(Proyectos!$Q:$Q,MATCH($A7,Proyectos!$C:$C,0))&amp;"","")</f>
        <v>No aplica</v>
      </c>
      <c r="L7" s="21" t="str">
        <f>IFERROR(INDEX(Proyectos!$V:$V,MATCH($A7,Proyectos!$C:$C,0))&amp;"","")</f>
        <v>Fotografías finales del cliente para completar el diseño (30% ya pagado)</v>
      </c>
      <c r="M7" s="22">
        <f>IFERROR(IF(INDEX(Proyectos!$W:$W,MATCH($A7,Proyectos!$C:$C,0))="","",INDEX(Proyectos!$W:$W,MATCH($A7,Proyectos!$C:$C,0))),"")</f>
        <v>46219</v>
      </c>
      <c r="N7" s="19">
        <f ca="1">IFERROR(INDEX(Proyectos!$X:$X,MATCH($A7,Proyectos!$C:$C,0)),"")</f>
        <v>18</v>
      </c>
      <c r="O7" s="21" t="str">
        <f>IFERROR(INDEX(Proyectos!$Y:$Y,MATCH($A7,Proyectos!$C:$C,0))&amp;"","")</f>
        <v>Cliente: Alejandro y Alejandra. Dev histórico: Rubit. Cita viernes 24/07 . Finalizado , agendar reunion final 5 dias antes de su ultima cita</v>
      </c>
      <c r="P7" s="23"/>
      <c r="Q7" s="23"/>
      <c r="R7" s="24"/>
    </row>
    <row r="8" ht="30" customHeight="1" spans="1:18">
      <c r="A8" s="16" t="s">
        <v>128</v>
      </c>
      <c r="B8" s="17" t="str">
        <f>IFERROR(IF(INDEX(Proyectos!$A:$A,MATCH($A8,Proyectos!$C:$C,0))="","",INDEX(Proyectos!$A:$A,MATCH($A8,Proyectos!$C:$C,0))),"")</f>
        <v/>
      </c>
      <c r="C8" s="18" t="str">
        <f>IFERROR(INDEX(Proyectos!$B:$B,MATCH($A8,Proyectos!$C:$C,0))&amp;"","")</f>
        <v>055</v>
      </c>
      <c r="D8" s="19" t="str">
        <f>IFERROR(INDEX(Proyectos!$D:$D,MATCH($A8,Proyectos!$C:$C,0))&amp;"","")</f>
        <v/>
      </c>
      <c r="E8" s="19" t="str">
        <f>IFERROR(INDEX(Proyectos!$E:$E,MATCH($A8,Proyectos!$C:$C,0))&amp;"","")</f>
        <v>E-commerce</v>
      </c>
      <c r="F8" s="19" t="str">
        <f>IFERROR(INDEX(Proyectos!$F:$F,MATCH($A8,Proyectos!$C:$C,0))&amp;"","")</f>
        <v>Por definir</v>
      </c>
      <c r="G8" s="19" t="str">
        <f>IFERROR(INDEX(Proyectos!$G:$G,MATCH($A8,Proyectos!$C:$C,0))&amp;"","")</f>
        <v>Diseño</v>
      </c>
      <c r="H8" s="20" t="str">
        <f>IFERROR(INDEX(Proyectos!$K:$K,MATCH($A8,Proyectos!$C:$C,0))&amp;"","")</f>
        <v>B</v>
      </c>
      <c r="I8" s="21" t="str">
        <f ca="1">IFERROR(INDEX(Proyectos!$L:$L,MATCH($A8,Proyectos!$C:$C,0))&amp;"","")</f>
        <v>CONGELAR HOY</v>
      </c>
      <c r="J8" s="19" t="str">
        <f>IFERROR(INDEX(Proyectos!$P:$P,MATCH($A8,Proyectos!$C:$C,0))&amp;"","")</f>
        <v>Incompleto</v>
      </c>
      <c r="K8" s="19" t="str">
        <f>IFERROR(INDEX(Proyectos!$Q:$Q,MATCH($A8,Proyectos!$C:$C,0))&amp;"","")</f>
        <v>No aplica</v>
      </c>
      <c r="L8" s="21" t="str">
        <f>IFERROR(INDEX(Proyectos!$V:$V,MATCH($A8,Proyectos!$C:$C,0))&amp;"","")</f>
        <v>Feedback/aprobación del diseño (30% ya pagado)</v>
      </c>
      <c r="M8" s="22">
        <f>IFERROR(IF(INDEX(Proyectos!$W:$W,MATCH($A8,Proyectos!$C:$C,0))="","",INDEX(Proyectos!$W:$W,MATCH($A8,Proyectos!$C:$C,0))),"")</f>
        <v>46212</v>
      </c>
      <c r="N8" s="19">
        <f ca="1">IFERROR(INDEX(Proyectos!$X:$X,MATCH($A8,Proyectos!$C:$C,0)),"")</f>
        <v>25</v>
      </c>
      <c r="O8" s="21" t="str">
        <f>IFERROR(INDEX(Proyectos!$Y:$Y,MATCH($A8,Proyectos!$C:$C,0))&amp;"","")</f>
        <v>Cliente: Norma Gonzales. Dev histórico: Rubit.</v>
      </c>
      <c r="P8" s="23"/>
      <c r="Q8" s="23"/>
      <c r="R8" s="24"/>
    </row>
    <row r="9" ht="30" customHeight="1" spans="1:18">
      <c r="A9" s="16" t="s">
        <v>163</v>
      </c>
      <c r="B9" s="17" t="str">
        <f>IFERROR(IF(INDEX(Proyectos!$A:$A,MATCH($A9,Proyectos!$C:$C,0))="","",INDEX(Proyectos!$A:$A,MATCH($A9,Proyectos!$C:$C,0))),"")</f>
        <v/>
      </c>
      <c r="C9" s="18" t="str">
        <f>IFERROR(INDEX(Proyectos!$B:$B,MATCH($A9,Proyectos!$C:$C,0))&amp;"","")</f>
        <v>065b</v>
      </c>
      <c r="D9" s="19" t="str">
        <f>IFERROR(INDEX(Proyectos!$D:$D,MATCH($A9,Proyectos!$C:$C,0))&amp;"","")</f>
        <v/>
      </c>
      <c r="E9" s="19" t="str">
        <f>IFERROR(INDEX(Proyectos!$E:$E,MATCH($A9,Proyectos!$C:$C,0))&amp;"","")</f>
        <v>E-commerce</v>
      </c>
      <c r="F9" s="19" t="str">
        <f>IFERROR(INDEX(Proyectos!$F:$F,MATCH($A9,Proyectos!$C:$C,0))&amp;"","")</f>
        <v>Por definir</v>
      </c>
      <c r="G9" s="19" t="str">
        <f>IFERROR(INDEX(Proyectos!$G:$G,MATCH($A9,Proyectos!$C:$C,0))&amp;"","")</f>
        <v>Esperando material</v>
      </c>
      <c r="H9" s="20" t="str">
        <f>IFERROR(INDEX(Proyectos!$K:$K,MATCH($A9,Proyectos!$C:$C,0))&amp;"","")</f>
        <v>B</v>
      </c>
      <c r="I9" s="21" t="str">
        <f ca="1">IFERROR(INDEX(Proyectos!$L:$L,MATCH($A9,Proyectos!$C:$C,0))&amp;"","")</f>
        <v>CONGELAR HOY</v>
      </c>
      <c r="J9" s="19" t="str">
        <f>IFERROR(INDEX(Proyectos!$P:$P,MATCH($A9,Proyectos!$C:$C,0))&amp;"","")</f>
        <v>Incompleto</v>
      </c>
      <c r="K9" s="19" t="str">
        <f>IFERROR(INDEX(Proyectos!$Q:$Q,MATCH($A9,Proyectos!$C:$C,0))&amp;"","")</f>
        <v>No enviada</v>
      </c>
      <c r="L9" s="21" t="str">
        <f>IFERROR(INDEX(Proyectos!$V:$V,MATCH($A9,Proyectos!$C:$C,0))&amp;"","")</f>
        <v>Levantamiento de información y materiales, falta brief formal</v>
      </c>
      <c r="M9" s="22">
        <f>IFERROR(IF(INDEX(Proyectos!$W:$W,MATCH($A9,Proyectos!$C:$C,0))="","",INDEX(Proyectos!$W:$W,MATCH($A9,Proyectos!$C:$C,0))),"")</f>
        <v>46218</v>
      </c>
      <c r="N9" s="19">
        <f ca="1">IFERROR(INDEX(Proyectos!$X:$X,MATCH($A9,Proyectos!$C:$C,0)),"")</f>
        <v>19</v>
      </c>
      <c r="O9" s="21" t="str">
        <f>IFERROR(INDEX(Proyectos!$Y:$Y,MATCH($A9,Proyectos!$C:$C,0))&amp;"","")</f>
        <v>Cliente: Karol Añez. Dev histórico: Rubit.</v>
      </c>
      <c r="P9" s="23"/>
      <c r="Q9" s="23"/>
      <c r="R9" s="24"/>
    </row>
    <row r="10" ht="30" customHeight="1" spans="1:18">
      <c r="A10" s="16" t="s">
        <v>171</v>
      </c>
      <c r="B10" s="17" t="str">
        <f>IFERROR(IF(INDEX(Proyectos!$A:$A,MATCH($A10,Proyectos!$C:$C,0))="","",INDEX(Proyectos!$A:$A,MATCH($A10,Proyectos!$C:$C,0))),"")</f>
        <v/>
      </c>
      <c r="C10" s="18" t="str">
        <f>IFERROR(INDEX(Proyectos!$B:$B,MATCH($A10,Proyectos!$C:$C,0))&amp;"","")</f>
        <v>067</v>
      </c>
      <c r="D10" s="19" t="str">
        <f>IFERROR(INDEX(Proyectos!$D:$D,MATCH($A10,Proyectos!$C:$C,0))&amp;"","")</f>
        <v/>
      </c>
      <c r="E10" s="19" t="str">
        <f>IFERROR(INDEX(Proyectos!$E:$E,MATCH($A10,Proyectos!$C:$C,0))&amp;"","")</f>
        <v>E-commerce</v>
      </c>
      <c r="F10" s="19" t="str">
        <f>IFERROR(INDEX(Proyectos!$F:$F,MATCH($A10,Proyectos!$C:$C,0))&amp;"","")</f>
        <v>Por definir</v>
      </c>
      <c r="G10" s="19" t="str">
        <f>IFERROR(INDEX(Proyectos!$G:$G,MATCH($A10,Proyectos!$C:$C,0))&amp;"","")</f>
        <v>Diseño</v>
      </c>
      <c r="H10" s="20" t="str">
        <f>IFERROR(INDEX(Proyectos!$K:$K,MATCH($A10,Proyectos!$C:$C,0))&amp;"","")</f>
        <v>B</v>
      </c>
      <c r="I10" s="21" t="str">
        <f ca="1">IFERROR(INDEX(Proyectos!$L:$L,MATCH($A10,Proyectos!$C:$C,0))&amp;"","")</f>
        <v>CONGELAR HOY</v>
      </c>
      <c r="J10" s="19" t="str">
        <f>IFERROR(INDEX(Proyectos!$P:$P,MATCH($A10,Proyectos!$C:$C,0))&amp;"","")</f>
        <v>Incompleto</v>
      </c>
      <c r="K10" s="19" t="str">
        <f>IFERROR(INDEX(Proyectos!$Q:$Q,MATCH($A10,Proyectos!$C:$C,0))&amp;"","")</f>
        <v>No enviada</v>
      </c>
      <c r="L10" s="21" t="str">
        <f>IFERROR(INDEX(Proyectos!$V:$V,MATCH($A10,Proyectos!$C:$C,0))&amp;"","")</f>
        <v>Material de diseño en general</v>
      </c>
      <c r="M10" s="22">
        <f>IFERROR(IF(INDEX(Proyectos!$W:$W,MATCH($A10,Proyectos!$C:$C,0))="","",INDEX(Proyectos!$W:$W,MATCH($A10,Proyectos!$C:$C,0))),"")</f>
        <v>46218</v>
      </c>
      <c r="N10" s="19">
        <f ca="1">IFERROR(INDEX(Proyectos!$X:$X,MATCH($A10,Proyectos!$C:$C,0)),"")</f>
        <v>19</v>
      </c>
      <c r="O10" s="21" t="str">
        <f>IFERROR(INDEX(Proyectos!$Y:$Y,MATCH($A10,Proyectos!$C:$C,0))&amp;"","")</f>
        <v>Cliente: Romel. Dev histórico: Rubit.- espera de manual de marca websy , si pudieron algunas de las propuestas de logotipo</v>
      </c>
      <c r="P10" s="23"/>
      <c r="Q10" s="23"/>
      <c r="R10" s="24"/>
    </row>
    <row r="11" ht="30" customHeight="1" spans="1:18">
      <c r="A11" s="16" t="s">
        <v>178</v>
      </c>
      <c r="B11" s="17">
        <f>IFERROR(IF(INDEX(Proyectos!$A:$A,MATCH($A11,Proyectos!$C:$C,0))="","",INDEX(Proyectos!$A:$A,MATCH($A11,Proyectos!$C:$C,0))),"")</f>
        <v>6</v>
      </c>
      <c r="C11" s="18" t="str">
        <f>IFERROR(INDEX(Proyectos!$B:$B,MATCH($A11,Proyectos!$C:$C,0))&amp;"","")</f>
        <v>069</v>
      </c>
      <c r="D11" s="19" t="str">
        <f>IFERROR(INDEX(Proyectos!$D:$D,MATCH($A11,Proyectos!$C:$C,0))&amp;"","")</f>
        <v/>
      </c>
      <c r="E11" s="19" t="str">
        <f>IFERROR(INDEX(Proyectos!$E:$E,MATCH($A11,Proyectos!$C:$C,0))&amp;"","")</f>
        <v>Informativa</v>
      </c>
      <c r="F11" s="19" t="str">
        <f>IFERROR(INDEX(Proyectos!$F:$F,MATCH($A11,Proyectos!$C:$C,0))&amp;"","")</f>
        <v>Por definir</v>
      </c>
      <c r="G11" s="19" t="str">
        <f>IFERROR(INDEX(Proyectos!$G:$G,MATCH($A11,Proyectos!$C:$C,0))&amp;"","")</f>
        <v>Diseño</v>
      </c>
      <c r="H11" s="20" t="str">
        <f>IFERROR(INDEX(Proyectos!$K:$K,MATCH($A11,Proyectos!$C:$C,0))&amp;"","")</f>
        <v>B</v>
      </c>
      <c r="I11" s="21" t="str">
        <f ca="1">IFERROR(INDEX(Proyectos!$L:$L,MATCH($A11,Proyectos!$C:$C,0))&amp;"","")</f>
        <v>CONGELAR HOY</v>
      </c>
      <c r="J11" s="19" t="str">
        <f>IFERROR(INDEX(Proyectos!$P:$P,MATCH($A11,Proyectos!$C:$C,0))&amp;"","")</f>
        <v>Incompleto</v>
      </c>
      <c r="K11" s="19" t="str">
        <f>IFERROR(INDEX(Proyectos!$Q:$Q,MATCH($A11,Proyectos!$C:$C,0))&amp;"","")</f>
        <v>No aplica</v>
      </c>
      <c r="L11" s="21" t="str">
        <f>IFERROR(INDEX(Proyectos!$V:$V,MATCH($A11,Proyectos!$C:$C,0))&amp;"","")</f>
        <v>Nada — en proceso de diseño</v>
      </c>
      <c r="M11" s="22">
        <f>IFERROR(IF(INDEX(Proyectos!$W:$W,MATCH($A11,Proyectos!$C:$C,0))="","",INDEX(Proyectos!$W:$W,MATCH($A11,Proyectos!$C:$C,0))),"")</f>
        <v>46218</v>
      </c>
      <c r="N11" s="19">
        <f ca="1">IFERROR(INDEX(Proyectos!$X:$X,MATCH($A11,Proyectos!$C:$C,0)),"")</f>
        <v>19</v>
      </c>
      <c r="O11" s="21" t="str">
        <f>IFERROR(INDEX(Proyectos!$Y:$Y,MATCH($A11,Proyectos!$C:$C,0))&amp;"","")</f>
        <v>Cliente: Erika Ventura. Dev histórico: Rubit. , que suban sus archivos al drive Marca previa de Juan Carlos (el proyecto salió de su hoja por no estar en grupo A): «avance listo».</v>
      </c>
      <c r="P11" s="23"/>
      <c r="Q11" s="23"/>
      <c r="R11" s="24"/>
    </row>
    <row r="12" ht="30" customHeight="1" spans="1:18">
      <c r="A12" s="16" t="s">
        <v>186</v>
      </c>
      <c r="B12" s="17">
        <f>IFERROR(IF(INDEX(Proyectos!$A:$A,MATCH($A12,Proyectos!$C:$C,0))="","",INDEX(Proyectos!$A:$A,MATCH($A12,Proyectos!$C:$C,0))),"")</f>
        <v>5</v>
      </c>
      <c r="C12" s="18" t="str">
        <f>IFERROR(INDEX(Proyectos!$B:$B,MATCH($A12,Proyectos!$C:$C,0))&amp;"","")</f>
        <v>071</v>
      </c>
      <c r="D12" s="19" t="str">
        <f>IFERROR(INDEX(Proyectos!$D:$D,MATCH($A12,Proyectos!$C:$C,0))&amp;"","")</f>
        <v/>
      </c>
      <c r="E12" s="19" t="str">
        <f>IFERROR(INDEX(Proyectos!$E:$E,MATCH($A12,Proyectos!$C:$C,0))&amp;"","")</f>
        <v>Informativa</v>
      </c>
      <c r="F12" s="19" t="str">
        <f>IFERROR(INDEX(Proyectos!$F:$F,MATCH($A12,Proyectos!$C:$C,0))&amp;"","")</f>
        <v>Por definir</v>
      </c>
      <c r="G12" s="19" t="str">
        <f>IFERROR(INDEX(Proyectos!$G:$G,MATCH($A12,Proyectos!$C:$C,0))&amp;"","")</f>
        <v>Diseño</v>
      </c>
      <c r="H12" s="20" t="str">
        <f>IFERROR(INDEX(Proyectos!$K:$K,MATCH($A12,Proyectos!$C:$C,0))&amp;"","")</f>
        <v>A</v>
      </c>
      <c r="I12" s="21" t="str">
        <f ca="1">IFERROR(INDEX(Proyectos!$L:$L,MATCH($A12,Proyectos!$C:$C,0))&amp;"","")</f>
        <v>CONGELAR HOY</v>
      </c>
      <c r="J12" s="19" t="str">
        <f>IFERROR(INDEX(Proyectos!$P:$P,MATCH($A12,Proyectos!$C:$C,0))&amp;"","")</f>
        <v>Completo</v>
      </c>
      <c r="K12" s="19" t="str">
        <f>IFERROR(INDEX(Proyectos!$Q:$Q,MATCH($A12,Proyectos!$C:$C,0))&amp;"","")</f>
        <v>No aplica</v>
      </c>
      <c r="L12" s="21" t="str">
        <f>IFERROR(INDEX(Proyectos!$V:$V,MATCH($A12,Proyectos!$C:$C,0))&amp;"","")</f>
        <v>Material de diseño (brief y drive ya completados administrativamente)</v>
      </c>
      <c r="M12" s="22">
        <f>IFERROR(IF(INDEX(Proyectos!$W:$W,MATCH($A12,Proyectos!$C:$C,0))="","",INDEX(Proyectos!$W:$W,MATCH($A12,Proyectos!$C:$C,0))),"")</f>
        <v>46218</v>
      </c>
      <c r="N12" s="19">
        <f ca="1">IFERROR(INDEX(Proyectos!$X:$X,MATCH($A12,Proyectos!$C:$C,0)),"")</f>
        <v>19</v>
      </c>
      <c r="O12" s="21" t="str">
        <f>IFERROR(INDEX(Proyectos!$Y:$Y,MATCH($A12,Proyectos!$C:$C,0))&amp;"","")</f>
        <v>Cliente: Jhon Cabrera Sánchez. Dev histórico: Rubit.</v>
      </c>
      <c r="P12" s="23"/>
      <c r="Q12" s="23"/>
      <c r="R12" s="24"/>
    </row>
    <row r="13" ht="30" customHeight="1" spans="1:18">
      <c r="A13" s="16" t="s">
        <v>189</v>
      </c>
      <c r="B13" s="17">
        <f>IFERROR(IF(INDEX(Proyectos!$A:$A,MATCH($A13,Proyectos!$C:$C,0))="","",INDEX(Proyectos!$A:$A,MATCH($A13,Proyectos!$C:$C,0))),"")</f>
        <v>8</v>
      </c>
      <c r="C13" s="18" t="str">
        <f>IFERROR(INDEX(Proyectos!$B:$B,MATCH($A13,Proyectos!$C:$C,0))&amp;"","")</f>
        <v>073</v>
      </c>
      <c r="D13" s="19" t="str">
        <f>IFERROR(INDEX(Proyectos!$D:$D,MATCH($A13,Proyectos!$C:$C,0))&amp;"","")</f>
        <v/>
      </c>
      <c r="E13" s="19" t="str">
        <f>IFERROR(INDEX(Proyectos!$E:$E,MATCH($A13,Proyectos!$C:$C,0))&amp;"","")</f>
        <v>E-commerce</v>
      </c>
      <c r="F13" s="19" t="str">
        <f>IFERROR(INDEX(Proyectos!$F:$F,MATCH($A13,Proyectos!$C:$C,0))&amp;"","")</f>
        <v>Por definir</v>
      </c>
      <c r="G13" s="19" t="str">
        <f>IFERROR(INDEX(Proyectos!$G:$G,MATCH($A13,Proyectos!$C:$C,0))&amp;"","")</f>
        <v>Diseño</v>
      </c>
      <c r="H13" s="20" t="str">
        <f>IFERROR(INDEX(Proyectos!$K:$K,MATCH($A13,Proyectos!$C:$C,0))&amp;"","")</f>
        <v>A</v>
      </c>
      <c r="I13" s="21" t="str">
        <f ca="1">IFERROR(INDEX(Proyectos!$L:$L,MATCH($A13,Proyectos!$C:$C,0))&amp;"","")</f>
        <v>CONGELAR HOY</v>
      </c>
      <c r="J13" s="19" t="str">
        <f>IFERROR(INDEX(Proyectos!$P:$P,MATCH($A13,Proyectos!$C:$C,0))&amp;"","")</f>
        <v>Completo</v>
      </c>
      <c r="K13" s="19" t="str">
        <f>IFERROR(INDEX(Proyectos!$Q:$Q,MATCH($A13,Proyectos!$C:$C,0))&amp;"","")</f>
        <v>No enviada</v>
      </c>
      <c r="L13" s="21" t="str">
        <f>IFERROR(INDEX(Proyectos!$V:$V,MATCH($A13,Proyectos!$C:$C,0))&amp;"","")</f>
        <v>Materiales y activos del cliente para iniciar estructura de la tienda</v>
      </c>
      <c r="M13" s="22">
        <f>IFERROR(IF(INDEX(Proyectos!$W:$W,MATCH($A13,Proyectos!$C:$C,0))="","",INDEX(Proyectos!$W:$W,MATCH($A13,Proyectos!$C:$C,0))),"")</f>
        <v>46218</v>
      </c>
      <c r="N13" s="19">
        <f ca="1">IFERROR(INDEX(Proyectos!$X:$X,MATCH($A13,Proyectos!$C:$C,0)),"")</f>
        <v>19</v>
      </c>
      <c r="O13" s="21" t="str">
        <f>IFERROR(INDEX(Proyectos!$Y:$Y,MATCH($A13,Proyectos!$C:$C,0))&amp;"","")</f>
        <v>Cliente: Sharmely Zanabria Carmona. Dev histórico: Rubit. Enviar materiales logotipos y fotos</v>
      </c>
      <c r="P13" s="23"/>
      <c r="Q13" s="23"/>
      <c r="R13" s="24"/>
    </row>
    <row r="14" ht="30" customHeight="1" spans="1:18">
      <c r="A14" s="16" t="s">
        <v>197</v>
      </c>
      <c r="B14" s="17">
        <f>IFERROR(IF(INDEX(Proyectos!$A:$A,MATCH($A14,Proyectos!$C:$C,0))="","",INDEX(Proyectos!$A:$A,MATCH($A14,Proyectos!$C:$C,0))),"")</f>
        <v>4</v>
      </c>
      <c r="C14" s="18" t="str">
        <f>IFERROR(INDEX(Proyectos!$B:$B,MATCH($A14,Proyectos!$C:$C,0))&amp;"","")</f>
        <v>075</v>
      </c>
      <c r="D14" s="19" t="str">
        <f>IFERROR(INDEX(Proyectos!$D:$D,MATCH($A14,Proyectos!$C:$C,0))&amp;"","")</f>
        <v/>
      </c>
      <c r="E14" s="19" t="str">
        <f>IFERROR(INDEX(Proyectos!$E:$E,MATCH($A14,Proyectos!$C:$C,0))&amp;"","")</f>
        <v>E-commerce</v>
      </c>
      <c r="F14" s="19" t="str">
        <f>IFERROR(INDEX(Proyectos!$F:$F,MATCH($A14,Proyectos!$C:$C,0))&amp;"","")</f>
        <v>Por definir</v>
      </c>
      <c r="G14" s="19" t="str">
        <f>IFERROR(INDEX(Proyectos!$G:$G,MATCH($A14,Proyectos!$C:$C,0))&amp;"","")</f>
        <v>Diseño</v>
      </c>
      <c r="H14" s="20" t="str">
        <f>IFERROR(INDEX(Proyectos!$K:$K,MATCH($A14,Proyectos!$C:$C,0))&amp;"","")</f>
        <v>A</v>
      </c>
      <c r="I14" s="21" t="str">
        <f ca="1">IFERROR(INDEX(Proyectos!$L:$L,MATCH($A14,Proyectos!$C:$C,0))&amp;"","")</f>
        <v>CONGELAR HOY</v>
      </c>
      <c r="J14" s="19" t="str">
        <f>IFERROR(INDEX(Proyectos!$P:$P,MATCH($A14,Proyectos!$C:$C,0))&amp;"","")</f>
        <v>Completo</v>
      </c>
      <c r="K14" s="19" t="str">
        <f>IFERROR(INDEX(Proyectos!$Q:$Q,MATCH($A14,Proyectos!$C:$C,0))&amp;"","")</f>
        <v>No enviada</v>
      </c>
      <c r="L14" s="21" t="str">
        <f>IFERROR(INDEX(Proyectos!$V:$V,MATCH($A14,Proyectos!$C:$C,0))&amp;"","")</f>
        <v>Material de diseño (brief y drive ya completados administrativamente)</v>
      </c>
      <c r="M14" s="22">
        <f>IFERROR(IF(INDEX(Proyectos!$W:$W,MATCH($A14,Proyectos!$C:$C,0))="","",INDEX(Proyectos!$W:$W,MATCH($A14,Proyectos!$C:$C,0))),"")</f>
        <v>46218</v>
      </c>
      <c r="N14" s="19">
        <f ca="1">IFERROR(INDEX(Proyectos!$X:$X,MATCH($A14,Proyectos!$C:$C,0)),"")</f>
        <v>19</v>
      </c>
      <c r="O14" s="21" t="str">
        <f>IFERROR(INDEX(Proyectos!$Y:$Y,MATCH($A14,Proyectos!$C:$C,0))&amp;"","")</f>
        <v>Cliente: Fatima. Dev histórico: Rubit. PENDIENTE: que envíen todo su material al Drive.</v>
      </c>
      <c r="P14" s="23"/>
      <c r="Q14" s="23"/>
      <c r="R14" s="24"/>
    </row>
    <row r="15" ht="30" customHeight="1" spans="1:18">
      <c r="A15" s="16" t="s">
        <v>208</v>
      </c>
      <c r="B15" s="17" t="str">
        <f>IFERROR(IF(INDEX(Proyectos!$A:$A,MATCH($A15,Proyectos!$C:$C,0))="","",INDEX(Proyectos!$A:$A,MATCH($A15,Proyectos!$C:$C,0))),"")</f>
        <v/>
      </c>
      <c r="C15" s="18" t="str">
        <f>IFERROR(INDEX(Proyectos!$B:$B,MATCH($A15,Proyectos!$C:$C,0))&amp;"","")</f>
        <v>078</v>
      </c>
      <c r="D15" s="19" t="str">
        <f>IFERROR(INDEX(Proyectos!$D:$D,MATCH($A15,Proyectos!$C:$C,0))&amp;"","")</f>
        <v/>
      </c>
      <c r="E15" s="19" t="str">
        <f>IFERROR(INDEX(Proyectos!$E:$E,MATCH($A15,Proyectos!$C:$C,0))&amp;"","")</f>
        <v>Informativa</v>
      </c>
      <c r="F15" s="19" t="str">
        <f>IFERROR(INDEX(Proyectos!$F:$F,MATCH($A15,Proyectos!$C:$C,0))&amp;"","")</f>
        <v>Por definir</v>
      </c>
      <c r="G15" s="19" t="str">
        <f>IFERROR(INDEX(Proyectos!$G:$G,MATCH($A15,Proyectos!$C:$C,0))&amp;"","")</f>
        <v>Esperando material</v>
      </c>
      <c r="H15" s="20" t="str">
        <f>IFERROR(INDEX(Proyectos!$K:$K,MATCH($A15,Proyectos!$C:$C,0))&amp;"","")</f>
        <v>B</v>
      </c>
      <c r="I15" s="21" t="str">
        <f ca="1">IFERROR(INDEX(Proyectos!$L:$L,MATCH($A15,Proyectos!$C:$C,0))&amp;"","")</f>
        <v>CONGELAR HOY</v>
      </c>
      <c r="J15" s="19" t="str">
        <f>IFERROR(INDEX(Proyectos!$P:$P,MATCH($A15,Proyectos!$C:$C,0))&amp;"","")</f>
        <v>Incompleto</v>
      </c>
      <c r="K15" s="19" t="str">
        <f>IFERROR(INDEX(Proyectos!$Q:$Q,MATCH($A15,Proyectos!$C:$C,0))&amp;"","")</f>
        <v>No aplica</v>
      </c>
      <c r="L15" s="21" t="str">
        <f>IFERROR(INDEX(Proyectos!$V:$V,MATCH($A15,Proyectos!$C:$C,0))&amp;"","")</f>
        <v>Material de diseño en general</v>
      </c>
      <c r="M15" s="22">
        <f>IFERROR(IF(INDEX(Proyectos!$W:$W,MATCH($A15,Proyectos!$C:$C,0))="","",INDEX(Proyectos!$W:$W,MATCH($A15,Proyectos!$C:$C,0))),"")</f>
        <v>46218</v>
      </c>
      <c r="N15" s="19">
        <f ca="1">IFERROR(INDEX(Proyectos!$X:$X,MATCH($A15,Proyectos!$C:$C,0)),"")</f>
        <v>19</v>
      </c>
      <c r="O15" s="21" t="str">
        <f>IFERROR(INDEX(Proyectos!$Y:$Y,MATCH($A15,Proyectos!$C:$C,0))&amp;"","")</f>
        <v>Cliente: Kenny. Dev histórico: Rubit.</v>
      </c>
      <c r="P15" s="23"/>
      <c r="Q15" s="23"/>
      <c r="R15" s="24"/>
    </row>
    <row r="16" ht="30" customHeight="1" spans="1:18">
      <c r="A16" s="16"/>
      <c r="B16" s="17" t="str">
        <f>IFERROR(IF(INDEX(Proyectos!$A:$A,MATCH($A16,Proyectos!$C:$C,0))="","",INDEX(Proyectos!$A:$A,MATCH($A16,Proyectos!$C:$C,0))),"")</f>
        <v/>
      </c>
      <c r="C16" s="18" t="str">
        <f>IFERROR(INDEX(Proyectos!$B:$B,MATCH($A16,Proyectos!$C:$C,0))&amp;"","")</f>
        <v/>
      </c>
      <c r="D16" s="19" t="str">
        <f>IFERROR(INDEX(Proyectos!$D:$D,MATCH($A16,Proyectos!$C:$C,0))&amp;"","")</f>
        <v/>
      </c>
      <c r="E16" s="19" t="str">
        <f>IFERROR(INDEX(Proyectos!$E:$E,MATCH($A16,Proyectos!$C:$C,0))&amp;"","")</f>
        <v/>
      </c>
      <c r="F16" s="19" t="str">
        <f>IFERROR(INDEX(Proyectos!$F:$F,MATCH($A16,Proyectos!$C:$C,0))&amp;"","")</f>
        <v/>
      </c>
      <c r="G16" s="19" t="str">
        <f>IFERROR(INDEX(Proyectos!$G:$G,MATCH($A16,Proyectos!$C:$C,0))&amp;"","")</f>
        <v/>
      </c>
      <c r="H16" s="20" t="str">
        <f>IFERROR(INDEX(Proyectos!$K:$K,MATCH($A16,Proyectos!$C:$C,0))&amp;"","")</f>
        <v/>
      </c>
      <c r="I16" s="21" t="str">
        <f ca="1">IFERROR(INDEX(Proyectos!$L:$L,MATCH($A16,Proyectos!$C:$C,0))&amp;"","")</f>
        <v/>
      </c>
      <c r="J16" s="19" t="str">
        <f>IFERROR(INDEX(Proyectos!$P:$P,MATCH($A16,Proyectos!$C:$C,0))&amp;"","")</f>
        <v/>
      </c>
      <c r="K16" s="19" t="str">
        <f>IFERROR(INDEX(Proyectos!$Q:$Q,MATCH($A16,Proyectos!$C:$C,0))&amp;"","")</f>
        <v/>
      </c>
      <c r="L16" s="21" t="str">
        <f>IFERROR(INDEX(Proyectos!$V:$V,MATCH($A16,Proyectos!$C:$C,0))&amp;"","")</f>
        <v/>
      </c>
      <c r="M16" s="22" t="str">
        <f>IFERROR(IF(INDEX(Proyectos!$W:$W,MATCH($A16,Proyectos!$C:$C,0))="","",INDEX(Proyectos!$W:$W,MATCH($A16,Proyectos!$C:$C,0))),"")</f>
        <v/>
      </c>
      <c r="N16" s="19" t="str">
        <f ca="1">IFERROR(INDEX(Proyectos!$X:$X,MATCH($A16,Proyectos!$C:$C,0)),"")</f>
        <v/>
      </c>
      <c r="O16" s="21" t="str">
        <f>IFERROR(INDEX(Proyectos!$Y:$Y,MATCH($A16,Proyectos!$C:$C,0))&amp;"","")</f>
        <v/>
      </c>
      <c r="P16" s="23"/>
      <c r="Q16" s="23"/>
      <c r="R16" s="24"/>
    </row>
    <row r="17" ht="30" customHeight="1" spans="1:18">
      <c r="A17" s="16"/>
      <c r="B17" s="17" t="str">
        <f>IFERROR(IF(INDEX(Proyectos!$A:$A,MATCH($A17,Proyectos!$C:$C,0))="","",INDEX(Proyectos!$A:$A,MATCH($A17,Proyectos!$C:$C,0))),"")</f>
        <v/>
      </c>
      <c r="C17" s="18" t="str">
        <f>IFERROR(INDEX(Proyectos!$B:$B,MATCH($A17,Proyectos!$C:$C,0))&amp;"","")</f>
        <v/>
      </c>
      <c r="D17" s="19" t="str">
        <f>IFERROR(INDEX(Proyectos!$D:$D,MATCH($A17,Proyectos!$C:$C,0))&amp;"","")</f>
        <v/>
      </c>
      <c r="E17" s="19" t="str">
        <f>IFERROR(INDEX(Proyectos!$E:$E,MATCH($A17,Proyectos!$C:$C,0))&amp;"","")</f>
        <v/>
      </c>
      <c r="F17" s="19" t="str">
        <f>IFERROR(INDEX(Proyectos!$F:$F,MATCH($A17,Proyectos!$C:$C,0))&amp;"","")</f>
        <v/>
      </c>
      <c r="G17" s="19" t="str">
        <f>IFERROR(INDEX(Proyectos!$G:$G,MATCH($A17,Proyectos!$C:$C,0))&amp;"","")</f>
        <v/>
      </c>
      <c r="H17" s="20" t="str">
        <f>IFERROR(INDEX(Proyectos!$K:$K,MATCH($A17,Proyectos!$C:$C,0))&amp;"","")</f>
        <v/>
      </c>
      <c r="I17" s="21" t="str">
        <f ca="1">IFERROR(INDEX(Proyectos!$L:$L,MATCH($A17,Proyectos!$C:$C,0))&amp;"","")</f>
        <v/>
      </c>
      <c r="J17" s="19" t="str">
        <f>IFERROR(INDEX(Proyectos!$P:$P,MATCH($A17,Proyectos!$C:$C,0))&amp;"","")</f>
        <v/>
      </c>
      <c r="K17" s="19" t="str">
        <f>IFERROR(INDEX(Proyectos!$Q:$Q,MATCH($A17,Proyectos!$C:$C,0))&amp;"","")</f>
        <v/>
      </c>
      <c r="L17" s="21" t="str">
        <f>IFERROR(INDEX(Proyectos!$V:$V,MATCH($A17,Proyectos!$C:$C,0))&amp;"","")</f>
        <v/>
      </c>
      <c r="M17" s="22" t="str">
        <f>IFERROR(IF(INDEX(Proyectos!$W:$W,MATCH($A17,Proyectos!$C:$C,0))="","",INDEX(Proyectos!$W:$W,MATCH($A17,Proyectos!$C:$C,0))),"")</f>
        <v/>
      </c>
      <c r="N17" s="19" t="str">
        <f ca="1">IFERROR(INDEX(Proyectos!$X:$X,MATCH($A17,Proyectos!$C:$C,0)),"")</f>
        <v/>
      </c>
      <c r="O17" s="21" t="str">
        <f>IFERROR(INDEX(Proyectos!$Y:$Y,MATCH($A17,Proyectos!$C:$C,0))&amp;"","")</f>
        <v/>
      </c>
      <c r="P17" s="23"/>
      <c r="Q17" s="23"/>
      <c r="R17" s="24"/>
    </row>
    <row r="18" ht="30" customHeight="1" spans="1:18">
      <c r="A18" s="16"/>
      <c r="B18" s="17" t="str">
        <f>IFERROR(IF(INDEX(Proyectos!$A:$A,MATCH($A18,Proyectos!$C:$C,0))="","",INDEX(Proyectos!$A:$A,MATCH($A18,Proyectos!$C:$C,0))),"")</f>
        <v/>
      </c>
      <c r="C18" s="18" t="str">
        <f>IFERROR(INDEX(Proyectos!$B:$B,MATCH($A18,Proyectos!$C:$C,0))&amp;"","")</f>
        <v/>
      </c>
      <c r="D18" s="19" t="str">
        <f>IFERROR(INDEX(Proyectos!$D:$D,MATCH($A18,Proyectos!$C:$C,0))&amp;"","")</f>
        <v/>
      </c>
      <c r="E18" s="19" t="str">
        <f>IFERROR(INDEX(Proyectos!$E:$E,MATCH($A18,Proyectos!$C:$C,0))&amp;"","")</f>
        <v/>
      </c>
      <c r="F18" s="19" t="str">
        <f>IFERROR(INDEX(Proyectos!$F:$F,MATCH($A18,Proyectos!$C:$C,0))&amp;"","")</f>
        <v/>
      </c>
      <c r="G18" s="19" t="str">
        <f>IFERROR(INDEX(Proyectos!$G:$G,MATCH($A18,Proyectos!$C:$C,0))&amp;"","")</f>
        <v/>
      </c>
      <c r="H18" s="20" t="str">
        <f>IFERROR(INDEX(Proyectos!$K:$K,MATCH($A18,Proyectos!$C:$C,0))&amp;"","")</f>
        <v/>
      </c>
      <c r="I18" s="21" t="str">
        <f ca="1">IFERROR(INDEX(Proyectos!$L:$L,MATCH($A18,Proyectos!$C:$C,0))&amp;"","")</f>
        <v/>
      </c>
      <c r="J18" s="19" t="str">
        <f>IFERROR(INDEX(Proyectos!$P:$P,MATCH($A18,Proyectos!$C:$C,0))&amp;"","")</f>
        <v/>
      </c>
      <c r="K18" s="19" t="str">
        <f>IFERROR(INDEX(Proyectos!$Q:$Q,MATCH($A18,Proyectos!$C:$C,0))&amp;"","")</f>
        <v/>
      </c>
      <c r="L18" s="21" t="str">
        <f>IFERROR(INDEX(Proyectos!$V:$V,MATCH($A18,Proyectos!$C:$C,0))&amp;"","")</f>
        <v/>
      </c>
      <c r="M18" s="22" t="str">
        <f>IFERROR(IF(INDEX(Proyectos!$W:$W,MATCH($A18,Proyectos!$C:$C,0))="","",INDEX(Proyectos!$W:$W,MATCH($A18,Proyectos!$C:$C,0))),"")</f>
        <v/>
      </c>
      <c r="N18" s="19" t="str">
        <f ca="1">IFERROR(INDEX(Proyectos!$X:$X,MATCH($A18,Proyectos!$C:$C,0)),"")</f>
        <v/>
      </c>
      <c r="O18" s="21" t="str">
        <f>IFERROR(INDEX(Proyectos!$Y:$Y,MATCH($A18,Proyectos!$C:$C,0))&amp;"","")</f>
        <v/>
      </c>
      <c r="P18" s="23"/>
      <c r="Q18" s="23"/>
      <c r="R18" s="24"/>
    </row>
    <row r="19" ht="30" customHeight="1" spans="1:18">
      <c r="A19" s="16"/>
      <c r="B19" s="17" t="str">
        <f>IFERROR(IF(INDEX(Proyectos!$A:$A,MATCH($A19,Proyectos!$C:$C,0))="","",INDEX(Proyectos!$A:$A,MATCH($A19,Proyectos!$C:$C,0))),"")</f>
        <v/>
      </c>
      <c r="C19" s="18" t="str">
        <f>IFERROR(INDEX(Proyectos!$B:$B,MATCH($A19,Proyectos!$C:$C,0))&amp;"","")</f>
        <v/>
      </c>
      <c r="D19" s="19" t="str">
        <f>IFERROR(INDEX(Proyectos!$D:$D,MATCH($A19,Proyectos!$C:$C,0))&amp;"","")</f>
        <v/>
      </c>
      <c r="E19" s="19" t="str">
        <f>IFERROR(INDEX(Proyectos!$E:$E,MATCH($A19,Proyectos!$C:$C,0))&amp;"","")</f>
        <v/>
      </c>
      <c r="F19" s="19" t="str">
        <f>IFERROR(INDEX(Proyectos!$F:$F,MATCH($A19,Proyectos!$C:$C,0))&amp;"","")</f>
        <v/>
      </c>
      <c r="G19" s="19" t="str">
        <f>IFERROR(INDEX(Proyectos!$G:$G,MATCH($A19,Proyectos!$C:$C,0))&amp;"","")</f>
        <v/>
      </c>
      <c r="H19" s="20" t="str">
        <f>IFERROR(INDEX(Proyectos!$K:$K,MATCH($A19,Proyectos!$C:$C,0))&amp;"","")</f>
        <v/>
      </c>
      <c r="I19" s="21" t="str">
        <f ca="1">IFERROR(INDEX(Proyectos!$L:$L,MATCH($A19,Proyectos!$C:$C,0))&amp;"","")</f>
        <v/>
      </c>
      <c r="J19" s="19" t="str">
        <f>IFERROR(INDEX(Proyectos!$P:$P,MATCH($A19,Proyectos!$C:$C,0))&amp;"","")</f>
        <v/>
      </c>
      <c r="K19" s="19" t="str">
        <f>IFERROR(INDEX(Proyectos!$Q:$Q,MATCH($A19,Proyectos!$C:$C,0))&amp;"","")</f>
        <v/>
      </c>
      <c r="L19" s="21" t="str">
        <f>IFERROR(INDEX(Proyectos!$V:$V,MATCH($A19,Proyectos!$C:$C,0))&amp;"","")</f>
        <v/>
      </c>
      <c r="M19" s="22" t="str">
        <f>IFERROR(IF(INDEX(Proyectos!$W:$W,MATCH($A19,Proyectos!$C:$C,0))="","",INDEX(Proyectos!$W:$W,MATCH($A19,Proyectos!$C:$C,0))),"")</f>
        <v/>
      </c>
      <c r="N19" s="19" t="str">
        <f ca="1">IFERROR(INDEX(Proyectos!$X:$X,MATCH($A19,Proyectos!$C:$C,0)),"")</f>
        <v/>
      </c>
      <c r="O19" s="21" t="str">
        <f>IFERROR(INDEX(Proyectos!$Y:$Y,MATCH($A19,Proyectos!$C:$C,0))&amp;"","")</f>
        <v/>
      </c>
      <c r="P19" s="23"/>
      <c r="Q19" s="23"/>
      <c r="R19" s="24"/>
    </row>
    <row r="20" ht="30" customHeight="1" spans="1:18">
      <c r="A20" s="16"/>
      <c r="B20" s="17" t="str">
        <f>IFERROR(IF(INDEX(Proyectos!$A:$A,MATCH($A20,Proyectos!$C:$C,0))="","",INDEX(Proyectos!$A:$A,MATCH($A20,Proyectos!$C:$C,0))),"")</f>
        <v/>
      </c>
      <c r="C20" s="18" t="str">
        <f>IFERROR(INDEX(Proyectos!$B:$B,MATCH($A20,Proyectos!$C:$C,0))&amp;"","")</f>
        <v/>
      </c>
      <c r="D20" s="19" t="str">
        <f>IFERROR(INDEX(Proyectos!$D:$D,MATCH($A20,Proyectos!$C:$C,0))&amp;"","")</f>
        <v/>
      </c>
      <c r="E20" s="19" t="str">
        <f>IFERROR(INDEX(Proyectos!$E:$E,MATCH($A20,Proyectos!$C:$C,0))&amp;"","")</f>
        <v/>
      </c>
      <c r="F20" s="19" t="str">
        <f>IFERROR(INDEX(Proyectos!$F:$F,MATCH($A20,Proyectos!$C:$C,0))&amp;"","")</f>
        <v/>
      </c>
      <c r="G20" s="19" t="str">
        <f>IFERROR(INDEX(Proyectos!$G:$G,MATCH($A20,Proyectos!$C:$C,0))&amp;"","")</f>
        <v/>
      </c>
      <c r="H20" s="20" t="str">
        <f>IFERROR(INDEX(Proyectos!$K:$K,MATCH($A20,Proyectos!$C:$C,0))&amp;"","")</f>
        <v/>
      </c>
      <c r="I20" s="21" t="str">
        <f ca="1">IFERROR(INDEX(Proyectos!$L:$L,MATCH($A20,Proyectos!$C:$C,0))&amp;"","")</f>
        <v/>
      </c>
      <c r="J20" s="19" t="str">
        <f>IFERROR(INDEX(Proyectos!$P:$P,MATCH($A20,Proyectos!$C:$C,0))&amp;"","")</f>
        <v/>
      </c>
      <c r="K20" s="19" t="str">
        <f>IFERROR(INDEX(Proyectos!$Q:$Q,MATCH($A20,Proyectos!$C:$C,0))&amp;"","")</f>
        <v/>
      </c>
      <c r="L20" s="21" t="str">
        <f>IFERROR(INDEX(Proyectos!$V:$V,MATCH($A20,Proyectos!$C:$C,0))&amp;"","")</f>
        <v/>
      </c>
      <c r="M20" s="22" t="str">
        <f>IFERROR(IF(INDEX(Proyectos!$W:$W,MATCH($A20,Proyectos!$C:$C,0))="","",INDEX(Proyectos!$W:$W,MATCH($A20,Proyectos!$C:$C,0))),"")</f>
        <v/>
      </c>
      <c r="N20" s="19" t="str">
        <f ca="1">IFERROR(INDEX(Proyectos!$X:$X,MATCH($A20,Proyectos!$C:$C,0)),"")</f>
        <v/>
      </c>
      <c r="O20" s="21" t="str">
        <f>IFERROR(INDEX(Proyectos!$Y:$Y,MATCH($A20,Proyectos!$C:$C,0))&amp;"","")</f>
        <v/>
      </c>
      <c r="P20" s="23"/>
      <c r="Q20" s="23"/>
      <c r="R20" s="24"/>
    </row>
    <row r="21" ht="30" customHeight="1" spans="1:18">
      <c r="A21" s="16"/>
      <c r="B21" s="17" t="str">
        <f>IFERROR(IF(INDEX(Proyectos!$A:$A,MATCH($A21,Proyectos!$C:$C,0))="","",INDEX(Proyectos!$A:$A,MATCH($A21,Proyectos!$C:$C,0))),"")</f>
        <v/>
      </c>
      <c r="C21" s="18" t="str">
        <f>IFERROR(INDEX(Proyectos!$B:$B,MATCH($A21,Proyectos!$C:$C,0))&amp;"","")</f>
        <v/>
      </c>
      <c r="D21" s="19" t="str">
        <f>IFERROR(INDEX(Proyectos!$D:$D,MATCH($A21,Proyectos!$C:$C,0))&amp;"","")</f>
        <v/>
      </c>
      <c r="E21" s="19" t="str">
        <f>IFERROR(INDEX(Proyectos!$E:$E,MATCH($A21,Proyectos!$C:$C,0))&amp;"","")</f>
        <v/>
      </c>
      <c r="F21" s="19" t="str">
        <f>IFERROR(INDEX(Proyectos!$F:$F,MATCH($A21,Proyectos!$C:$C,0))&amp;"","")</f>
        <v/>
      </c>
      <c r="G21" s="19" t="str">
        <f>IFERROR(INDEX(Proyectos!$G:$G,MATCH($A21,Proyectos!$C:$C,0))&amp;"","")</f>
        <v/>
      </c>
      <c r="H21" s="20" t="str">
        <f>IFERROR(INDEX(Proyectos!$K:$K,MATCH($A21,Proyectos!$C:$C,0))&amp;"","")</f>
        <v/>
      </c>
      <c r="I21" s="21" t="str">
        <f ca="1">IFERROR(INDEX(Proyectos!$L:$L,MATCH($A21,Proyectos!$C:$C,0))&amp;"","")</f>
        <v/>
      </c>
      <c r="J21" s="19" t="str">
        <f>IFERROR(INDEX(Proyectos!$P:$P,MATCH($A21,Proyectos!$C:$C,0))&amp;"","")</f>
        <v/>
      </c>
      <c r="K21" s="19" t="str">
        <f>IFERROR(INDEX(Proyectos!$Q:$Q,MATCH($A21,Proyectos!$C:$C,0))&amp;"","")</f>
        <v/>
      </c>
      <c r="L21" s="21" t="str">
        <f>IFERROR(INDEX(Proyectos!$V:$V,MATCH($A21,Proyectos!$C:$C,0))&amp;"","")</f>
        <v/>
      </c>
      <c r="M21" s="22" t="str">
        <f>IFERROR(IF(INDEX(Proyectos!$W:$W,MATCH($A21,Proyectos!$C:$C,0))="","",INDEX(Proyectos!$W:$W,MATCH($A21,Proyectos!$C:$C,0))),"")</f>
        <v/>
      </c>
      <c r="N21" s="19" t="str">
        <f ca="1">IFERROR(INDEX(Proyectos!$X:$X,MATCH($A21,Proyectos!$C:$C,0)),"")</f>
        <v/>
      </c>
      <c r="O21" s="21" t="str">
        <f>IFERROR(INDEX(Proyectos!$Y:$Y,MATCH($A21,Proyectos!$C:$C,0))&amp;"","")</f>
        <v/>
      </c>
      <c r="P21" s="23"/>
      <c r="Q21" s="23"/>
      <c r="R21" s="24"/>
    </row>
  </sheetData>
  <mergeCells count="3">
    <mergeCell ref="A1:R1"/>
    <mergeCell ref="A2:R2"/>
    <mergeCell ref="A3:R3"/>
  </mergeCells>
  <conditionalFormatting sqref="D6:D21">
    <cfRule type="expression" dxfId="0" priority="15">
      <formula>AND($A6&lt;&gt;"",$D6="")</formula>
    </cfRule>
  </conditionalFormatting>
  <conditionalFormatting sqref="H6:H21">
    <cfRule type="expression" dxfId="6" priority="7">
      <formula>$H6="A"</formula>
    </cfRule>
    <cfRule type="expression" dxfId="0" priority="8">
      <formula>$H6="B"</formula>
    </cfRule>
    <cfRule type="expression" dxfId="1" priority="9">
      <formula>$H6="C"</formula>
    </cfRule>
  </conditionalFormatting>
  <conditionalFormatting sqref="I6:I21">
    <cfRule type="expression" dxfId="1" priority="10">
      <formula>ISNUMBER(SEARCH("CONGELAR",$I6))</formula>
    </cfRule>
    <cfRule type="expression" dxfId="0" priority="11">
      <formula>ISNUMBER(SEARCH("COBRAR",$I6))</formula>
    </cfRule>
    <cfRule type="expression" dxfId="0" priority="12">
      <formula>ISNUMBER(SEARCH("PERSEGUIR",$I6))</formula>
    </cfRule>
    <cfRule type="expression" dxfId="6" priority="13">
      <formula>OR($I6="Al día",$I6="Listo para asignar")</formula>
    </cfRule>
  </conditionalFormatting>
  <conditionalFormatting sqref="N6:N21">
    <cfRule type="cellIs" dxfId="7" priority="14" operator="greaterThan">
      <formula>15</formula>
    </cfRule>
  </conditionalFormatting>
  <conditionalFormatting sqref="P6:P21">
    <cfRule type="expression" dxfId="5" priority="2">
      <formula>$P6="Listo — avanzar"</formula>
    </cfRule>
    <cfRule type="expression" dxfId="5" priority="3">
      <formula>$P6="Entregado"</formula>
    </cfRule>
    <cfRule type="expression" dxfId="2" priority="4">
      <formula>$P6="Trabado — necesito ayuda"</formula>
    </cfRule>
    <cfRule type="expression" dxfId="3" priority="5">
      <formula>$P6="Esperando al cliente"</formula>
    </cfRule>
    <cfRule type="expression" dxfId="4" priority="6">
      <formula>$P6="En curso"</formula>
    </cfRule>
  </conditionalFormatting>
  <dataValidations count="1">
    <dataValidation type="list" allowBlank="1" sqref="P6:P21">
      <formula1>"En curso,Listo — avanzar,Trabado — necesito ayuda,Esperando al cliente,Entregado"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:R1"/>
    </sheetView>
  </sheetViews>
  <sheetFormatPr defaultColWidth="8.67619047619048" defaultRowHeight="15"/>
  <cols>
    <col min="1" max="1" width="24" customWidth="1"/>
    <col min="2" max="3" width="9" customWidth="1"/>
    <col min="4" max="4" width="28" customWidth="1"/>
    <col min="5" max="5" width="12" customWidth="1"/>
    <col min="6" max="6" width="14" customWidth="1"/>
    <col min="7" max="7" width="18" customWidth="1"/>
    <col min="8" max="8" width="7" customWidth="1"/>
    <col min="9" max="9" width="30" customWidth="1"/>
    <col min="10" max="10" width="15" customWidth="1"/>
    <col min="11" max="11" width="18" customWidth="1"/>
    <col min="12" max="12" width="28" customWidth="1"/>
    <col min="13" max="13" width="15" customWidth="1"/>
    <col min="14" max="14" width="11" customWidth="1"/>
    <col min="15" max="15" width="34" customWidth="1"/>
    <col min="16" max="16" width="26" customWidth="1"/>
    <col min="17" max="17" width="34" customWidth="1"/>
    <col min="18" max="18" width="12" customWidth="1"/>
  </cols>
  <sheetData>
    <row r="1" ht="27.75" customHeight="1" spans="1:18">
      <c r="A1" s="12" t="s">
        <v>294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A2" s="13" t="s">
        <v>295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30" customHeight="1" spans="1:18">
      <c r="A3" s="14" t="s">
        <v>289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7.5" customHeight="1"/>
    <row r="5" ht="31.5" customHeight="1" spans="1:18">
      <c r="A5" s="15" t="s">
        <v>32</v>
      </c>
      <c r="B5" s="15" t="s">
        <v>280</v>
      </c>
      <c r="C5" s="15" t="s">
        <v>31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40</v>
      </c>
      <c r="I5" s="15" t="s">
        <v>41</v>
      </c>
      <c r="J5" s="15" t="s">
        <v>45</v>
      </c>
      <c r="K5" s="15" t="s">
        <v>46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290</v>
      </c>
      <c r="Q5" s="15" t="s">
        <v>291</v>
      </c>
      <c r="R5" s="15" t="s">
        <v>283</v>
      </c>
    </row>
    <row r="6" ht="30" customHeight="1" spans="1:18">
      <c r="A6" s="16" t="s">
        <v>100</v>
      </c>
      <c r="B6" s="17" t="str">
        <f>IFERROR(IF(INDEX(Proyectos!$A:$A,MATCH($A6,Proyectos!$C:$C,0))="","",INDEX(Proyectos!$A:$A,MATCH($A6,Proyectos!$C:$C,0))),"")</f>
        <v/>
      </c>
      <c r="C6" s="18" t="str">
        <f>IFERROR(INDEX(Proyectos!$B:$B,MATCH($A6,Proyectos!$C:$C,0))&amp;"","")</f>
        <v>038</v>
      </c>
      <c r="D6" s="19" t="str">
        <f>IFERROR(INDEX(Proyectos!$D:$D,MATCH($A6,Proyectos!$C:$C,0))&amp;"","")</f>
        <v/>
      </c>
      <c r="E6" s="19" t="str">
        <f>IFERROR(INDEX(Proyectos!$E:$E,MATCH($A6,Proyectos!$C:$C,0))&amp;"","")</f>
        <v>E-commerce</v>
      </c>
      <c r="F6" s="19" t="str">
        <f>IFERROR(INDEX(Proyectos!$F:$F,MATCH($A6,Proyectos!$C:$C,0))&amp;"","")</f>
        <v>Por definir</v>
      </c>
      <c r="G6" s="19" t="str">
        <f>IFERROR(INDEX(Proyectos!$G:$G,MATCH($A6,Proyectos!$C:$C,0))&amp;"","")</f>
        <v>Esperando material</v>
      </c>
      <c r="H6" s="20" t="str">
        <f>IFERROR(INDEX(Proyectos!$K:$K,MATCH($A6,Proyectos!$C:$C,0))&amp;"","")</f>
        <v>A</v>
      </c>
      <c r="I6" s="21" t="str">
        <f ca="1">IFERROR(INDEX(Proyectos!$L:$L,MATCH($A6,Proyectos!$C:$C,0))&amp;"","")</f>
        <v>Al día</v>
      </c>
      <c r="J6" s="19" t="str">
        <f>IFERROR(INDEX(Proyectos!$P:$P,MATCH($A6,Proyectos!$C:$C,0))&amp;"","")</f>
        <v>Completo</v>
      </c>
      <c r="K6" s="19" t="str">
        <f>IFERROR(INDEX(Proyectos!$Q:$Q,MATCH($A6,Proyectos!$C:$C,0))&amp;"","")</f>
        <v>Recibida con errores</v>
      </c>
      <c r="L6" s="21" t="str">
        <f>IFERROR(INDEX(Proyectos!$V:$V,MATCH($A6,Proyectos!$C:$C,0))&amp;"","")</f>
        <v>Material de diseño — brief llenado</v>
      </c>
      <c r="M6" s="22" t="str">
        <f>IFERROR(IF(INDEX(Proyectos!$W:$W,MATCH($A6,Proyectos!$C:$C,0))="","",INDEX(Proyectos!$W:$W,MATCH($A6,Proyectos!$C:$C,0))),"")</f>
        <v/>
      </c>
      <c r="N6" s="19" t="str">
        <f ca="1">IFERROR(INDEX(Proyectos!$X:$X,MATCH($A6,Proyectos!$C:$C,0)),"")</f>
        <v/>
      </c>
      <c r="O6" s="21" t="str">
        <f>IFERROR(INDEX(Proyectos!$Y:$Y,MATCH($A6,Proyectos!$C:$C,0))&amp;"","")</f>
        <v>Cliente: Gladys Poma. Dev histórico: Luis. 30% ya pagado según pizarra.</v>
      </c>
      <c r="P6" s="23"/>
      <c r="Q6" s="23"/>
      <c r="R6" s="24"/>
    </row>
    <row r="7" ht="30" customHeight="1" spans="1:18">
      <c r="A7" s="16" t="s">
        <v>137</v>
      </c>
      <c r="B7" s="17" t="str">
        <f>IFERROR(IF(INDEX(Proyectos!$A:$A,MATCH($A7,Proyectos!$C:$C,0))="","",INDEX(Proyectos!$A:$A,MATCH($A7,Proyectos!$C:$C,0))),"")</f>
        <v/>
      </c>
      <c r="C7" s="18" t="str">
        <f>IFERROR(INDEX(Proyectos!$B:$B,MATCH($A7,Proyectos!$C:$C,0))&amp;"","")</f>
        <v>057</v>
      </c>
      <c r="D7" s="19" t="str">
        <f>IFERROR(INDEX(Proyectos!$D:$D,MATCH($A7,Proyectos!$C:$C,0))&amp;"","")</f>
        <v/>
      </c>
      <c r="E7" s="19" t="str">
        <f>IFERROR(INDEX(Proyectos!$E:$E,MATCH($A7,Proyectos!$C:$C,0))&amp;"","")</f>
        <v>Informativa</v>
      </c>
      <c r="F7" s="19" t="str">
        <f>IFERROR(INDEX(Proyectos!$F:$F,MATCH($A7,Proyectos!$C:$C,0))&amp;"","")</f>
        <v>Por definir</v>
      </c>
      <c r="G7" s="19" t="str">
        <f>IFERROR(INDEX(Proyectos!$G:$G,MATCH($A7,Proyectos!$C:$C,0))&amp;"","")</f>
        <v>Diseño</v>
      </c>
      <c r="H7" s="20" t="str">
        <f>IFERROR(INDEX(Proyectos!$K:$K,MATCH($A7,Proyectos!$C:$C,0))&amp;"","")</f>
        <v>B</v>
      </c>
      <c r="I7" s="21" t="str">
        <f ca="1">IFERROR(INDEX(Proyectos!$L:$L,MATCH($A7,Proyectos!$C:$C,0))&amp;"","")</f>
        <v>CONGELAR HOY</v>
      </c>
      <c r="J7" s="19" t="str">
        <f>IFERROR(INDEX(Proyectos!$P:$P,MATCH($A7,Proyectos!$C:$C,0))&amp;"","")</f>
        <v>Incompleto</v>
      </c>
      <c r="K7" s="19" t="str">
        <f>IFERROR(INDEX(Proyectos!$Q:$Q,MATCH($A7,Proyectos!$C:$C,0))&amp;"","")</f>
        <v>No aplica</v>
      </c>
      <c r="L7" s="21" t="str">
        <f>IFERROR(INDEX(Proyectos!$V:$V,MATCH($A7,Proyectos!$C:$C,0))&amp;"","")</f>
        <v>Aprobación del diseño por parte del cliente</v>
      </c>
      <c r="M7" s="22">
        <f>IFERROR(IF(INDEX(Proyectos!$W:$W,MATCH($A7,Proyectos!$C:$C,0))="","",INDEX(Proyectos!$W:$W,MATCH($A7,Proyectos!$C:$C,0))),"")</f>
        <v>46218</v>
      </c>
      <c r="N7" s="19">
        <f ca="1">IFERROR(INDEX(Proyectos!$X:$X,MATCH($A7,Proyectos!$C:$C,0)),"")</f>
        <v>19</v>
      </c>
      <c r="O7" s="21" t="str">
        <f>IFERROR(INDEX(Proyectos!$Y:$Y,MATCH($A7,Proyectos!$C:$C,0))&amp;"","")</f>
        <v>Cliente: J Pino.</v>
      </c>
      <c r="P7" s="23"/>
      <c r="Q7" s="23"/>
      <c r="R7" s="24"/>
    </row>
    <row r="8" ht="30" customHeight="1" spans="1:18">
      <c r="A8" s="16" t="s">
        <v>204</v>
      </c>
      <c r="B8" s="17" t="str">
        <f>IFERROR(IF(INDEX(Proyectos!$A:$A,MATCH($A8,Proyectos!$C:$C,0))="","",INDEX(Proyectos!$A:$A,MATCH($A8,Proyectos!$C:$C,0))),"")</f>
        <v/>
      </c>
      <c r="C8" s="18" t="str">
        <f>IFERROR(INDEX(Proyectos!$B:$B,MATCH($A8,Proyectos!$C:$C,0))&amp;"","")</f>
        <v>077</v>
      </c>
      <c r="D8" s="19" t="str">
        <f>IFERROR(INDEX(Proyectos!$D:$D,MATCH($A8,Proyectos!$C:$C,0))&amp;"","")</f>
        <v/>
      </c>
      <c r="E8" s="19" t="str">
        <f>IFERROR(INDEX(Proyectos!$E:$E,MATCH($A8,Proyectos!$C:$C,0))&amp;"","")</f>
        <v>Informativa</v>
      </c>
      <c r="F8" s="19" t="str">
        <f>IFERROR(INDEX(Proyectos!$F:$F,MATCH($A8,Proyectos!$C:$C,0))&amp;"","")</f>
        <v>Por definir</v>
      </c>
      <c r="G8" s="19" t="str">
        <f>IFERROR(INDEX(Proyectos!$G:$G,MATCH($A8,Proyectos!$C:$C,0))&amp;"","")</f>
        <v>Desarrollo</v>
      </c>
      <c r="H8" s="20" t="str">
        <f>IFERROR(INDEX(Proyectos!$K:$K,MATCH($A8,Proyectos!$C:$C,0))&amp;"","")</f>
        <v>C</v>
      </c>
      <c r="I8" s="21" t="str">
        <f ca="1">IFERROR(INDEX(Proyectos!$L:$L,MATCH($A8,Proyectos!$C:$C,0))&amp;"","")</f>
        <v>CONGELAR HOY</v>
      </c>
      <c r="J8" s="19" t="str">
        <f>IFERROR(INDEX(Proyectos!$P:$P,MATCH($A8,Proyectos!$C:$C,0))&amp;"","")</f>
        <v>Incompleto</v>
      </c>
      <c r="K8" s="19" t="str">
        <f>IFERROR(INDEX(Proyectos!$Q:$Q,MATCH($A8,Proyectos!$C:$C,0))&amp;"","")</f>
        <v>No aplica</v>
      </c>
      <c r="L8" s="21" t="str">
        <f>IFERROR(INDEX(Proyectos!$V:$V,MATCH($A8,Proyectos!$C:$C,0))&amp;"","")</f>
        <v>Material de diseño / contenidos (proyecto de branding + intranet + LMS)</v>
      </c>
      <c r="M8" s="22">
        <f>IFERROR(IF(INDEX(Proyectos!$W:$W,MATCH($A8,Proyectos!$C:$C,0))="","",INDEX(Proyectos!$W:$W,MATCH($A8,Proyectos!$C:$C,0))),"")</f>
        <v>46218</v>
      </c>
      <c r="N8" s="19">
        <f ca="1">IFERROR(INDEX(Proyectos!$X:$X,MATCH($A8,Proyectos!$C:$C,0)),"")</f>
        <v>19</v>
      </c>
      <c r="O8" s="21" t="str">
        <f>IFERROR(INDEX(Proyectos!$Y:$Y,MATCH($A8,Proyectos!$C:$C,0))&amp;"","")</f>
        <v>Cliente: Maria Gracia. Luis mencionado como responsable — capacidad 0 según Reglas, confirmar quién lo lleva en la práctica.</v>
      </c>
      <c r="P8" s="23"/>
      <c r="Q8" s="23"/>
      <c r="R8" s="24"/>
    </row>
    <row r="9" ht="30" customHeight="1" spans="1:18">
      <c r="A9" s="16"/>
      <c r="B9" s="17" t="str">
        <f>IFERROR(IF(INDEX(Proyectos!$A:$A,MATCH($A9,Proyectos!$C:$C,0))="","",INDEX(Proyectos!$A:$A,MATCH($A9,Proyectos!$C:$C,0))),"")</f>
        <v/>
      </c>
      <c r="C9" s="18" t="str">
        <f>IFERROR(INDEX(Proyectos!$B:$B,MATCH($A9,Proyectos!$C:$C,0))&amp;"","")</f>
        <v/>
      </c>
      <c r="D9" s="19" t="str">
        <f>IFERROR(INDEX(Proyectos!$D:$D,MATCH($A9,Proyectos!$C:$C,0))&amp;"","")</f>
        <v/>
      </c>
      <c r="E9" s="19" t="str">
        <f>IFERROR(INDEX(Proyectos!$E:$E,MATCH($A9,Proyectos!$C:$C,0))&amp;"","")</f>
        <v/>
      </c>
      <c r="F9" s="19" t="str">
        <f>IFERROR(INDEX(Proyectos!$F:$F,MATCH($A9,Proyectos!$C:$C,0))&amp;"","")</f>
        <v/>
      </c>
      <c r="G9" s="19" t="str">
        <f>IFERROR(INDEX(Proyectos!$G:$G,MATCH($A9,Proyectos!$C:$C,0))&amp;"","")</f>
        <v/>
      </c>
      <c r="H9" s="20" t="str">
        <f>IFERROR(INDEX(Proyectos!$K:$K,MATCH($A9,Proyectos!$C:$C,0))&amp;"","")</f>
        <v/>
      </c>
      <c r="I9" s="21" t="str">
        <f ca="1">IFERROR(INDEX(Proyectos!$L:$L,MATCH($A9,Proyectos!$C:$C,0))&amp;"","")</f>
        <v/>
      </c>
      <c r="J9" s="19" t="str">
        <f>IFERROR(INDEX(Proyectos!$P:$P,MATCH($A9,Proyectos!$C:$C,0))&amp;"","")</f>
        <v/>
      </c>
      <c r="K9" s="19" t="str">
        <f>IFERROR(INDEX(Proyectos!$Q:$Q,MATCH($A9,Proyectos!$C:$C,0))&amp;"","")</f>
        <v/>
      </c>
      <c r="L9" s="21" t="str">
        <f>IFERROR(INDEX(Proyectos!$V:$V,MATCH($A9,Proyectos!$C:$C,0))&amp;"","")</f>
        <v/>
      </c>
      <c r="M9" s="22" t="str">
        <f>IFERROR(IF(INDEX(Proyectos!$W:$W,MATCH($A9,Proyectos!$C:$C,0))="","",INDEX(Proyectos!$W:$W,MATCH($A9,Proyectos!$C:$C,0))),"")</f>
        <v/>
      </c>
      <c r="N9" s="19" t="str">
        <f ca="1">IFERROR(INDEX(Proyectos!$X:$X,MATCH($A9,Proyectos!$C:$C,0)),"")</f>
        <v/>
      </c>
      <c r="O9" s="21" t="str">
        <f>IFERROR(INDEX(Proyectos!$Y:$Y,MATCH($A9,Proyectos!$C:$C,0))&amp;"","")</f>
        <v/>
      </c>
      <c r="P9" s="23"/>
      <c r="Q9" s="23"/>
      <c r="R9" s="24"/>
    </row>
    <row r="10" ht="30" customHeight="1" spans="1:18">
      <c r="A10" s="16"/>
      <c r="B10" s="17" t="str">
        <f>IFERROR(IF(INDEX(Proyectos!$A:$A,MATCH($A10,Proyectos!$C:$C,0))="","",INDEX(Proyectos!$A:$A,MATCH($A10,Proyectos!$C:$C,0))),"")</f>
        <v/>
      </c>
      <c r="C10" s="18" t="str">
        <f>IFERROR(INDEX(Proyectos!$B:$B,MATCH($A10,Proyectos!$C:$C,0))&amp;"","")</f>
        <v/>
      </c>
      <c r="D10" s="19" t="str">
        <f>IFERROR(INDEX(Proyectos!$D:$D,MATCH($A10,Proyectos!$C:$C,0))&amp;"","")</f>
        <v/>
      </c>
      <c r="E10" s="19" t="str">
        <f>IFERROR(INDEX(Proyectos!$E:$E,MATCH($A10,Proyectos!$C:$C,0))&amp;"","")</f>
        <v/>
      </c>
      <c r="F10" s="19" t="str">
        <f>IFERROR(INDEX(Proyectos!$F:$F,MATCH($A10,Proyectos!$C:$C,0))&amp;"","")</f>
        <v/>
      </c>
      <c r="G10" s="19" t="str">
        <f>IFERROR(INDEX(Proyectos!$G:$G,MATCH($A10,Proyectos!$C:$C,0))&amp;"","")</f>
        <v/>
      </c>
      <c r="H10" s="20" t="str">
        <f>IFERROR(INDEX(Proyectos!$K:$K,MATCH($A10,Proyectos!$C:$C,0))&amp;"","")</f>
        <v/>
      </c>
      <c r="I10" s="21" t="str">
        <f ca="1">IFERROR(INDEX(Proyectos!$L:$L,MATCH($A10,Proyectos!$C:$C,0))&amp;"","")</f>
        <v/>
      </c>
      <c r="J10" s="19" t="str">
        <f>IFERROR(INDEX(Proyectos!$P:$P,MATCH($A10,Proyectos!$C:$C,0))&amp;"","")</f>
        <v/>
      </c>
      <c r="K10" s="19" t="str">
        <f>IFERROR(INDEX(Proyectos!$Q:$Q,MATCH($A10,Proyectos!$C:$C,0))&amp;"","")</f>
        <v/>
      </c>
      <c r="L10" s="21" t="str">
        <f>IFERROR(INDEX(Proyectos!$V:$V,MATCH($A10,Proyectos!$C:$C,0))&amp;"","")</f>
        <v/>
      </c>
      <c r="M10" s="22" t="str">
        <f>IFERROR(IF(INDEX(Proyectos!$W:$W,MATCH($A10,Proyectos!$C:$C,0))="","",INDEX(Proyectos!$W:$W,MATCH($A10,Proyectos!$C:$C,0))),"")</f>
        <v/>
      </c>
      <c r="N10" s="19" t="str">
        <f ca="1">IFERROR(INDEX(Proyectos!$X:$X,MATCH($A10,Proyectos!$C:$C,0)),"")</f>
        <v/>
      </c>
      <c r="O10" s="21" t="str">
        <f>IFERROR(INDEX(Proyectos!$Y:$Y,MATCH($A10,Proyectos!$C:$C,0))&amp;"","")</f>
        <v/>
      </c>
      <c r="P10" s="23"/>
      <c r="Q10" s="23"/>
      <c r="R10" s="24"/>
    </row>
    <row r="11" ht="30" customHeight="1" spans="1:18">
      <c r="A11" s="16"/>
      <c r="B11" s="17" t="str">
        <f>IFERROR(IF(INDEX(Proyectos!$A:$A,MATCH($A11,Proyectos!$C:$C,0))="","",INDEX(Proyectos!$A:$A,MATCH($A11,Proyectos!$C:$C,0))),"")</f>
        <v/>
      </c>
      <c r="C11" s="18" t="str">
        <f>IFERROR(INDEX(Proyectos!$B:$B,MATCH($A11,Proyectos!$C:$C,0))&amp;"","")</f>
        <v/>
      </c>
      <c r="D11" s="19" t="str">
        <f>IFERROR(INDEX(Proyectos!$D:$D,MATCH($A11,Proyectos!$C:$C,0))&amp;"","")</f>
        <v/>
      </c>
      <c r="E11" s="19" t="str">
        <f>IFERROR(INDEX(Proyectos!$E:$E,MATCH($A11,Proyectos!$C:$C,0))&amp;"","")</f>
        <v/>
      </c>
      <c r="F11" s="19" t="str">
        <f>IFERROR(INDEX(Proyectos!$F:$F,MATCH($A11,Proyectos!$C:$C,0))&amp;"","")</f>
        <v/>
      </c>
      <c r="G11" s="19" t="str">
        <f>IFERROR(INDEX(Proyectos!$G:$G,MATCH($A11,Proyectos!$C:$C,0))&amp;"","")</f>
        <v/>
      </c>
      <c r="H11" s="20" t="str">
        <f>IFERROR(INDEX(Proyectos!$K:$K,MATCH($A11,Proyectos!$C:$C,0))&amp;"","")</f>
        <v/>
      </c>
      <c r="I11" s="21" t="str">
        <f ca="1">IFERROR(INDEX(Proyectos!$L:$L,MATCH($A11,Proyectos!$C:$C,0))&amp;"","")</f>
        <v/>
      </c>
      <c r="J11" s="19" t="str">
        <f>IFERROR(INDEX(Proyectos!$P:$P,MATCH($A11,Proyectos!$C:$C,0))&amp;"","")</f>
        <v/>
      </c>
      <c r="K11" s="19" t="str">
        <f>IFERROR(INDEX(Proyectos!$Q:$Q,MATCH($A11,Proyectos!$C:$C,0))&amp;"","")</f>
        <v/>
      </c>
      <c r="L11" s="21" t="str">
        <f>IFERROR(INDEX(Proyectos!$V:$V,MATCH($A11,Proyectos!$C:$C,0))&amp;"","")</f>
        <v/>
      </c>
      <c r="M11" s="22" t="str">
        <f>IFERROR(IF(INDEX(Proyectos!$W:$W,MATCH($A11,Proyectos!$C:$C,0))="","",INDEX(Proyectos!$W:$W,MATCH($A11,Proyectos!$C:$C,0))),"")</f>
        <v/>
      </c>
      <c r="N11" s="19" t="str">
        <f ca="1">IFERROR(INDEX(Proyectos!$X:$X,MATCH($A11,Proyectos!$C:$C,0)),"")</f>
        <v/>
      </c>
      <c r="O11" s="21" t="str">
        <f>IFERROR(INDEX(Proyectos!$Y:$Y,MATCH($A11,Proyectos!$C:$C,0))&amp;"","")</f>
        <v/>
      </c>
      <c r="P11" s="23"/>
      <c r="Q11" s="23"/>
      <c r="R11" s="24"/>
    </row>
    <row r="12" ht="30" customHeight="1" spans="1:18">
      <c r="A12" s="16"/>
      <c r="B12" s="17" t="str">
        <f>IFERROR(IF(INDEX(Proyectos!$A:$A,MATCH($A12,Proyectos!$C:$C,0))="","",INDEX(Proyectos!$A:$A,MATCH($A12,Proyectos!$C:$C,0))),"")</f>
        <v/>
      </c>
      <c r="C12" s="18" t="str">
        <f>IFERROR(INDEX(Proyectos!$B:$B,MATCH($A12,Proyectos!$C:$C,0))&amp;"","")</f>
        <v/>
      </c>
      <c r="D12" s="19" t="str">
        <f>IFERROR(INDEX(Proyectos!$D:$D,MATCH($A12,Proyectos!$C:$C,0))&amp;"","")</f>
        <v/>
      </c>
      <c r="E12" s="19" t="str">
        <f>IFERROR(INDEX(Proyectos!$E:$E,MATCH($A12,Proyectos!$C:$C,0))&amp;"","")</f>
        <v/>
      </c>
      <c r="F12" s="19" t="str">
        <f>IFERROR(INDEX(Proyectos!$F:$F,MATCH($A12,Proyectos!$C:$C,0))&amp;"","")</f>
        <v/>
      </c>
      <c r="G12" s="19" t="str">
        <f>IFERROR(INDEX(Proyectos!$G:$G,MATCH($A12,Proyectos!$C:$C,0))&amp;"","")</f>
        <v/>
      </c>
      <c r="H12" s="20" t="str">
        <f>IFERROR(INDEX(Proyectos!$K:$K,MATCH($A12,Proyectos!$C:$C,0))&amp;"","")</f>
        <v/>
      </c>
      <c r="I12" s="21" t="str">
        <f ca="1">IFERROR(INDEX(Proyectos!$L:$L,MATCH($A12,Proyectos!$C:$C,0))&amp;"","")</f>
        <v/>
      </c>
      <c r="J12" s="19" t="str">
        <f>IFERROR(INDEX(Proyectos!$P:$P,MATCH($A12,Proyectos!$C:$C,0))&amp;"","")</f>
        <v/>
      </c>
      <c r="K12" s="19" t="str">
        <f>IFERROR(INDEX(Proyectos!$Q:$Q,MATCH($A12,Proyectos!$C:$C,0))&amp;"","")</f>
        <v/>
      </c>
      <c r="L12" s="21" t="str">
        <f>IFERROR(INDEX(Proyectos!$V:$V,MATCH($A12,Proyectos!$C:$C,0))&amp;"","")</f>
        <v/>
      </c>
      <c r="M12" s="22" t="str">
        <f>IFERROR(IF(INDEX(Proyectos!$W:$W,MATCH($A12,Proyectos!$C:$C,0))="","",INDEX(Proyectos!$W:$W,MATCH($A12,Proyectos!$C:$C,0))),"")</f>
        <v/>
      </c>
      <c r="N12" s="19" t="str">
        <f ca="1">IFERROR(INDEX(Proyectos!$X:$X,MATCH($A12,Proyectos!$C:$C,0)),"")</f>
        <v/>
      </c>
      <c r="O12" s="21" t="str">
        <f>IFERROR(INDEX(Proyectos!$Y:$Y,MATCH($A12,Proyectos!$C:$C,0))&amp;"","")</f>
        <v/>
      </c>
      <c r="P12" s="23"/>
      <c r="Q12" s="23"/>
      <c r="R12" s="24"/>
    </row>
    <row r="13" ht="30" customHeight="1" spans="1:18">
      <c r="A13" s="16"/>
      <c r="B13" s="17" t="str">
        <f>IFERROR(IF(INDEX(Proyectos!$A:$A,MATCH($A13,Proyectos!$C:$C,0))="","",INDEX(Proyectos!$A:$A,MATCH($A13,Proyectos!$C:$C,0))),"")</f>
        <v/>
      </c>
      <c r="C13" s="18" t="str">
        <f>IFERROR(INDEX(Proyectos!$B:$B,MATCH($A13,Proyectos!$C:$C,0))&amp;"","")</f>
        <v/>
      </c>
      <c r="D13" s="19" t="str">
        <f>IFERROR(INDEX(Proyectos!$D:$D,MATCH($A13,Proyectos!$C:$C,0))&amp;"","")</f>
        <v/>
      </c>
      <c r="E13" s="19" t="str">
        <f>IFERROR(INDEX(Proyectos!$E:$E,MATCH($A13,Proyectos!$C:$C,0))&amp;"","")</f>
        <v/>
      </c>
      <c r="F13" s="19" t="str">
        <f>IFERROR(INDEX(Proyectos!$F:$F,MATCH($A13,Proyectos!$C:$C,0))&amp;"","")</f>
        <v/>
      </c>
      <c r="G13" s="19" t="str">
        <f>IFERROR(INDEX(Proyectos!$G:$G,MATCH($A13,Proyectos!$C:$C,0))&amp;"","")</f>
        <v/>
      </c>
      <c r="H13" s="20" t="str">
        <f>IFERROR(INDEX(Proyectos!$K:$K,MATCH($A13,Proyectos!$C:$C,0))&amp;"","")</f>
        <v/>
      </c>
      <c r="I13" s="21" t="str">
        <f ca="1">IFERROR(INDEX(Proyectos!$L:$L,MATCH($A13,Proyectos!$C:$C,0))&amp;"","")</f>
        <v/>
      </c>
      <c r="J13" s="19" t="str">
        <f>IFERROR(INDEX(Proyectos!$P:$P,MATCH($A13,Proyectos!$C:$C,0))&amp;"","")</f>
        <v/>
      </c>
      <c r="K13" s="19" t="str">
        <f>IFERROR(INDEX(Proyectos!$Q:$Q,MATCH($A13,Proyectos!$C:$C,0))&amp;"","")</f>
        <v/>
      </c>
      <c r="L13" s="21" t="str">
        <f>IFERROR(INDEX(Proyectos!$V:$V,MATCH($A13,Proyectos!$C:$C,0))&amp;"","")</f>
        <v/>
      </c>
      <c r="M13" s="22" t="str">
        <f>IFERROR(IF(INDEX(Proyectos!$W:$W,MATCH($A13,Proyectos!$C:$C,0))="","",INDEX(Proyectos!$W:$W,MATCH($A13,Proyectos!$C:$C,0))),"")</f>
        <v/>
      </c>
      <c r="N13" s="19" t="str">
        <f ca="1">IFERROR(INDEX(Proyectos!$X:$X,MATCH($A13,Proyectos!$C:$C,0)),"")</f>
        <v/>
      </c>
      <c r="O13" s="21" t="str">
        <f>IFERROR(INDEX(Proyectos!$Y:$Y,MATCH($A13,Proyectos!$C:$C,0))&amp;"","")</f>
        <v/>
      </c>
      <c r="P13" s="23"/>
      <c r="Q13" s="23"/>
      <c r="R13" s="24"/>
    </row>
    <row r="14" ht="30" customHeight="1" spans="1:18">
      <c r="A14" s="16"/>
      <c r="B14" s="17" t="str">
        <f>IFERROR(IF(INDEX(Proyectos!$A:$A,MATCH($A14,Proyectos!$C:$C,0))="","",INDEX(Proyectos!$A:$A,MATCH($A14,Proyectos!$C:$C,0))),"")</f>
        <v/>
      </c>
      <c r="C14" s="18" t="str">
        <f>IFERROR(INDEX(Proyectos!$B:$B,MATCH($A14,Proyectos!$C:$C,0))&amp;"","")</f>
        <v/>
      </c>
      <c r="D14" s="19" t="str">
        <f>IFERROR(INDEX(Proyectos!$D:$D,MATCH($A14,Proyectos!$C:$C,0))&amp;"","")</f>
        <v/>
      </c>
      <c r="E14" s="19" t="str">
        <f>IFERROR(INDEX(Proyectos!$E:$E,MATCH($A14,Proyectos!$C:$C,0))&amp;"","")</f>
        <v/>
      </c>
      <c r="F14" s="19" t="str">
        <f>IFERROR(INDEX(Proyectos!$F:$F,MATCH($A14,Proyectos!$C:$C,0))&amp;"","")</f>
        <v/>
      </c>
      <c r="G14" s="19" t="str">
        <f>IFERROR(INDEX(Proyectos!$G:$G,MATCH($A14,Proyectos!$C:$C,0))&amp;"","")</f>
        <v/>
      </c>
      <c r="H14" s="20" t="str">
        <f>IFERROR(INDEX(Proyectos!$K:$K,MATCH($A14,Proyectos!$C:$C,0))&amp;"","")</f>
        <v/>
      </c>
      <c r="I14" s="21" t="str">
        <f ca="1">IFERROR(INDEX(Proyectos!$L:$L,MATCH($A14,Proyectos!$C:$C,0))&amp;"","")</f>
        <v/>
      </c>
      <c r="J14" s="19" t="str">
        <f>IFERROR(INDEX(Proyectos!$P:$P,MATCH($A14,Proyectos!$C:$C,0))&amp;"","")</f>
        <v/>
      </c>
      <c r="K14" s="19" t="str">
        <f>IFERROR(INDEX(Proyectos!$Q:$Q,MATCH($A14,Proyectos!$C:$C,0))&amp;"","")</f>
        <v/>
      </c>
      <c r="L14" s="21" t="str">
        <f>IFERROR(INDEX(Proyectos!$V:$V,MATCH($A14,Proyectos!$C:$C,0))&amp;"","")</f>
        <v/>
      </c>
      <c r="M14" s="22" t="str">
        <f>IFERROR(IF(INDEX(Proyectos!$W:$W,MATCH($A14,Proyectos!$C:$C,0))="","",INDEX(Proyectos!$W:$W,MATCH($A14,Proyectos!$C:$C,0))),"")</f>
        <v/>
      </c>
      <c r="N14" s="19" t="str">
        <f ca="1">IFERROR(INDEX(Proyectos!$X:$X,MATCH($A14,Proyectos!$C:$C,0)),"")</f>
        <v/>
      </c>
      <c r="O14" s="21" t="str">
        <f>IFERROR(INDEX(Proyectos!$Y:$Y,MATCH($A14,Proyectos!$C:$C,0))&amp;"","")</f>
        <v/>
      </c>
      <c r="P14" s="23"/>
      <c r="Q14" s="23"/>
      <c r="R14" s="24"/>
    </row>
  </sheetData>
  <mergeCells count="3">
    <mergeCell ref="A1:R1"/>
    <mergeCell ref="A2:R2"/>
    <mergeCell ref="A3:R3"/>
  </mergeCells>
  <conditionalFormatting sqref="D6:D14">
    <cfRule type="expression" dxfId="0" priority="15">
      <formula>AND($A6&lt;&gt;"",$D6="")</formula>
    </cfRule>
  </conditionalFormatting>
  <conditionalFormatting sqref="H6:H14">
    <cfRule type="expression" dxfId="6" priority="7">
      <formula>$H6="A"</formula>
    </cfRule>
    <cfRule type="expression" dxfId="0" priority="8">
      <formula>$H6="B"</formula>
    </cfRule>
    <cfRule type="expression" dxfId="1" priority="9">
      <formula>$H6="C"</formula>
    </cfRule>
  </conditionalFormatting>
  <conditionalFormatting sqref="I6:I14">
    <cfRule type="expression" dxfId="1" priority="10">
      <formula>ISNUMBER(SEARCH("CONGELAR",$I6))</formula>
    </cfRule>
    <cfRule type="expression" dxfId="0" priority="11">
      <formula>ISNUMBER(SEARCH("COBRAR",$I6))</formula>
    </cfRule>
    <cfRule type="expression" dxfId="0" priority="12">
      <formula>ISNUMBER(SEARCH("PERSEGUIR",$I6))</formula>
    </cfRule>
    <cfRule type="expression" dxfId="6" priority="13">
      <formula>OR($I6="Al día",$I6="Listo para asignar")</formula>
    </cfRule>
  </conditionalFormatting>
  <conditionalFormatting sqref="N6:N14">
    <cfRule type="cellIs" dxfId="7" priority="14" operator="greaterThan">
      <formula>15</formula>
    </cfRule>
  </conditionalFormatting>
  <conditionalFormatting sqref="P6:P14">
    <cfRule type="expression" dxfId="5" priority="2">
      <formula>$P6="Listo — avanzar"</formula>
    </cfRule>
    <cfRule type="expression" dxfId="5" priority="3">
      <formula>$P6="Entregado"</formula>
    </cfRule>
    <cfRule type="expression" dxfId="2" priority="4">
      <formula>$P6="Trabado — necesito ayuda"</formula>
    </cfRule>
    <cfRule type="expression" dxfId="3" priority="5">
      <formula>$P6="Esperando al cliente"</formula>
    </cfRule>
    <cfRule type="expression" dxfId="4" priority="6">
      <formula>$P6="En curso"</formula>
    </cfRule>
  </conditionalFormatting>
  <dataValidations count="1">
    <dataValidation type="list" allowBlank="1" sqref="P6:P14">
      <formula1>"En curso,Listo — avanzar,Trabado — necesito ayuda,Esperando al cliente,Entregado"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380952380952" defaultRowHeight="15"/>
  <cols>
    <col min="1" max="1" width="3" customWidth="1"/>
    <col min="2" max="2" width="6" customWidth="1"/>
    <col min="3" max="3" width="46" customWidth="1"/>
    <col min="4" max="4" width="62" customWidth="1"/>
    <col min="5" max="6" width="8.71428571428571" customWidth="1"/>
  </cols>
  <sheetData>
    <row r="1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 spans="1:26">
      <c r="A2" s="1"/>
      <c r="B2" s="2" t="s">
        <v>296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1"/>
      <c r="B3" s="3" t="s">
        <v>297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Height="1" spans="1:26">
      <c r="A5" s="1"/>
      <c r="B5" s="8" t="s">
        <v>298</v>
      </c>
      <c r="C5" s="8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 spans="1:26">
      <c r="A6" s="1"/>
      <c r="B6" s="9" t="s">
        <v>299</v>
      </c>
      <c r="C6" s="9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Height="1" spans="1:26">
      <c r="A7" s="1"/>
      <c r="B7" s="10"/>
      <c r="C7" s="10" t="s">
        <v>300</v>
      </c>
      <c r="D7" s="10" t="s">
        <v>301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" customHeight="1" spans="1:26">
      <c r="A8" s="1"/>
      <c r="B8" s="11" t="s">
        <v>302</v>
      </c>
      <c r="C8" s="5" t="s">
        <v>303</v>
      </c>
      <c r="D8" s="5" t="s">
        <v>304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" customHeight="1" spans="1:26">
      <c r="A9" s="1"/>
      <c r="B9" s="11" t="s">
        <v>302</v>
      </c>
      <c r="C9" s="5" t="s">
        <v>305</v>
      </c>
      <c r="D9" s="5" t="s">
        <v>306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" customHeight="1" spans="1:26">
      <c r="A10" s="1"/>
      <c r="B10" s="11" t="s">
        <v>302</v>
      </c>
      <c r="C10" s="5" t="s">
        <v>307</v>
      </c>
      <c r="D10" s="5" t="s">
        <v>308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" customHeight="1" spans="1:26">
      <c r="A11" s="1"/>
      <c r="B11" s="11" t="s">
        <v>302</v>
      </c>
      <c r="C11" s="5" t="s">
        <v>309</v>
      </c>
      <c r="D11" s="5" t="s">
        <v>310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" customHeight="1" spans="1:26">
      <c r="A12" s="1"/>
      <c r="B12" s="11" t="s">
        <v>302</v>
      </c>
      <c r="C12" s="5" t="s">
        <v>311</v>
      </c>
      <c r="D12" s="5" t="s">
        <v>312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" customHeight="1" spans="1:26">
      <c r="A13" s="1"/>
      <c r="B13" s="11" t="s">
        <v>302</v>
      </c>
      <c r="C13" s="5" t="s">
        <v>313</v>
      </c>
      <c r="D13" s="5" t="s">
        <v>314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1"/>
      <c r="B15" s="8" t="s">
        <v>315</v>
      </c>
      <c r="C15" s="8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 spans="1:26">
      <c r="A16" s="1"/>
      <c r="B16" s="9" t="s">
        <v>316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Height="1" spans="1:26">
      <c r="A17" s="1"/>
      <c r="B17" s="10"/>
      <c r="C17" s="10" t="s">
        <v>300</v>
      </c>
      <c r="D17" s="10" t="s">
        <v>301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" customHeight="1" spans="1:26">
      <c r="A18" s="1"/>
      <c r="B18" s="11" t="s">
        <v>302</v>
      </c>
      <c r="C18" s="5" t="s">
        <v>317</v>
      </c>
      <c r="D18" s="5" t="s">
        <v>318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" customHeight="1" spans="1:26">
      <c r="A19" s="1"/>
      <c r="B19" s="11" t="s">
        <v>302</v>
      </c>
      <c r="C19" s="5" t="s">
        <v>319</v>
      </c>
      <c r="D19" s="5" t="s">
        <v>320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" customHeight="1" spans="1:26">
      <c r="A20" s="1"/>
      <c r="B20" s="11" t="s">
        <v>302</v>
      </c>
      <c r="C20" s="5" t="s">
        <v>321</v>
      </c>
      <c r="D20" s="5" t="s">
        <v>322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Height="1" spans="1:26">
      <c r="A22" s="1"/>
      <c r="B22" s="8" t="s">
        <v>323</v>
      </c>
      <c r="C22" s="8"/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 spans="1:26">
      <c r="A23" s="1"/>
      <c r="B23" s="9" t="s">
        <v>324</v>
      </c>
      <c r="C23" s="9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Height="1" spans="1:26">
      <c r="A24" s="1"/>
      <c r="B24" s="10"/>
      <c r="C24" s="10" t="s">
        <v>300</v>
      </c>
      <c r="D24" s="10" t="s">
        <v>301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" customHeight="1" spans="1:26">
      <c r="A25" s="1"/>
      <c r="B25" s="11" t="s">
        <v>302</v>
      </c>
      <c r="C25" s="5" t="s">
        <v>325</v>
      </c>
      <c r="D25" s="5" t="s">
        <v>326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" customHeight="1" spans="1:26">
      <c r="A26" s="1"/>
      <c r="B26" s="11" t="s">
        <v>302</v>
      </c>
      <c r="C26" s="5" t="s">
        <v>327</v>
      </c>
      <c r="D26" s="5" t="s">
        <v>328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" customHeight="1" spans="1:26">
      <c r="A27" s="1"/>
      <c r="B27" s="11" t="s">
        <v>302</v>
      </c>
      <c r="C27" s="5" t="s">
        <v>329</v>
      </c>
      <c r="D27" s="5" t="s">
        <v>330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" customHeight="1" spans="1:26">
      <c r="A28" s="1"/>
      <c r="B28" s="11" t="s">
        <v>302</v>
      </c>
      <c r="C28" s="5" t="s">
        <v>331</v>
      </c>
      <c r="D28" s="5" t="s">
        <v>332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" customHeight="1" spans="1:26">
      <c r="A29" s="1"/>
      <c r="B29" s="11" t="s">
        <v>302</v>
      </c>
      <c r="C29" s="5" t="s">
        <v>333</v>
      </c>
      <c r="D29" s="5" t="s">
        <v>334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" customHeight="1" spans="1:26">
      <c r="A30" s="1"/>
      <c r="B30" s="11" t="s">
        <v>302</v>
      </c>
      <c r="C30" s="5" t="s">
        <v>335</v>
      </c>
      <c r="D30" s="5" t="s">
        <v>336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" customHeight="1" spans="1:26">
      <c r="A31" s="1"/>
      <c r="B31" s="11" t="s">
        <v>302</v>
      </c>
      <c r="C31" s="5" t="s">
        <v>337</v>
      </c>
      <c r="D31" s="5" t="s">
        <v>338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2:D2"/>
    <mergeCell ref="B3:D3"/>
    <mergeCell ref="B5:D5"/>
    <mergeCell ref="B6:D6"/>
    <mergeCell ref="B15:D15"/>
    <mergeCell ref="B16:D16"/>
    <mergeCell ref="B22:D22"/>
    <mergeCell ref="B23:D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380952380952" defaultRowHeight="15"/>
  <cols>
    <col min="1" max="1" width="3" customWidth="1"/>
    <col min="2" max="2" width="30" customWidth="1"/>
    <col min="3" max="3" width="88" customWidth="1"/>
    <col min="4" max="6" width="8.71428571428571" customWidth="1"/>
  </cols>
  <sheetData>
    <row r="1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 spans="1:26">
      <c r="A2" s="1"/>
      <c r="B2" s="2" t="s">
        <v>339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1"/>
      <c r="B3" s="3" t="s">
        <v>340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75" customHeight="1" spans="1:26">
      <c r="A5" s="1"/>
      <c r="B5" s="4" t="s">
        <v>341</v>
      </c>
      <c r="C5" s="5" t="s">
        <v>342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75" customHeight="1" spans="1:26">
      <c r="A6" s="1"/>
      <c r="B6" s="4" t="s">
        <v>343</v>
      </c>
      <c r="C6" s="5" t="s">
        <v>344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5.75" customHeight="1" spans="1:26">
      <c r="A7" s="1"/>
      <c r="B7" s="4" t="s">
        <v>345</v>
      </c>
      <c r="C7" s="5" t="s">
        <v>346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75" customHeight="1" spans="1:26">
      <c r="A8" s="1"/>
      <c r="B8" s="4" t="s">
        <v>347</v>
      </c>
      <c r="C8" s="5" t="s">
        <v>348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75" customHeight="1" spans="1:26">
      <c r="A9" s="1"/>
      <c r="B9" s="4" t="s">
        <v>349</v>
      </c>
      <c r="C9" s="5" t="s">
        <v>350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75" customHeight="1" spans="1:26">
      <c r="A10" s="1"/>
      <c r="B10" s="4" t="s">
        <v>351</v>
      </c>
      <c r="C10" s="5" t="s">
        <v>352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5.75" customHeight="1" spans="1:26">
      <c r="A11" s="1"/>
      <c r="B11" s="4" t="s">
        <v>353</v>
      </c>
      <c r="C11" s="5" t="s">
        <v>354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75" customHeight="1" spans="1:26">
      <c r="A12" s="1"/>
      <c r="B12" s="4" t="s">
        <v>355</v>
      </c>
      <c r="C12" s="5" t="s">
        <v>356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Height="1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1"/>
      <c r="B14" s="6" t="s">
        <v>357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 spans="1:26">
      <c r="A15" s="1"/>
      <c r="B15" s="7" t="s">
        <v>358</v>
      </c>
      <c r="C15" s="5" t="s">
        <v>359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 spans="1:26">
      <c r="A16" s="1"/>
      <c r="B16" s="7" t="s">
        <v>360</v>
      </c>
      <c r="C16" s="5" t="s">
        <v>361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 spans="1:26">
      <c r="A17" s="1"/>
      <c r="B17" s="7" t="s">
        <v>362</v>
      </c>
      <c r="C17" s="5" t="s">
        <v>363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 spans="1:26">
      <c r="A18" s="1"/>
      <c r="B18" s="7" t="s">
        <v>364</v>
      </c>
      <c r="C18" s="5" t="s">
        <v>365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Instrucciones</vt:lpstr>
      <vt:lpstr>Proyectos</vt:lpstr>
      <vt:lpstr>Tablero</vt:lpstr>
      <vt:lpstr>Juan Carlos</vt:lpstr>
      <vt:lpstr>Aarón</vt:lpstr>
      <vt:lpstr>Rubit</vt:lpstr>
      <vt:lpstr>Luis</vt:lpstr>
      <vt:lpstr>Checklists</vt:lpstr>
      <vt:lpstr>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2026-07-30T21:04:00Z</dcterms:created>
  <dcterms:modified xsi:type="dcterms:W3CDTF">2026-08-03T16:38:31Z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C8062906082049F98B0BB3DDEC4953E3_13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